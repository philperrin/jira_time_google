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tting Started" sheetId="1" r:id="rId5"/>
    <sheet state="visible" name="Allocation" sheetId="2" r:id="rId6"/>
    <sheet state="visible" name="Assignments" sheetId="3" r:id="rId7"/>
    <sheet state="visible" name="Calendar" sheetId="4" r:id="rId8"/>
    <sheet state="visible" name="Time Card" sheetId="5" r:id="rId9"/>
    <sheet state="visible" name="History" sheetId="6" r:id="rId10"/>
    <sheet state="visible" name="LogPull" sheetId="7" r:id="rId11"/>
    <sheet state="visible" name="Allocation Summary" sheetId="8" r:id="rId12"/>
    <sheet state="visible" name="Billable to Target" sheetId="9" r:id="rId13"/>
  </sheets>
  <definedNames>
    <definedName name="JTTP">Assignments!$A$19:$A$24</definedName>
    <definedName name="WMEPO">Assignments!$A$34:$A$53</definedName>
    <definedName name="MP">Assignments!$A$25:$A$33</definedName>
    <definedName name="CEOT">Assignments!$A$2:$A$18</definedName>
    <definedName hidden="1" localSheetId="1" name="_xlnm._FilterDatabase">Allocation!$A$1:$G$12</definedName>
    <definedName hidden="1" localSheetId="2" name="_xlnm._FilterDatabase">Assignments!$A$1:$I$150</definedName>
    <definedName hidden="1" localSheetId="3" name="_xlnm._FilterDatabase">Calendar!$A$1:$K$602</definedName>
    <definedName hidden="1" localSheetId="6" name="_xlnm._FilterDatabase">LogPull!$A$1:$G$1397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tc={3e4cffd5-85f3-4ce0-b9fc-5eb72f7eecfa}</author>
    <author>tc={56113832-4589-42b9-90eb-a87778c78f1d}</author>
    <author>tc={7ce897d6-6d37-4648-9052-5d6f06bed642}</author>
    <author>tc={9b262c6e-7100-4f23-ab15-827892775996}</author>
  </authors>
  <commentList>
    <comment authorId="0" xr:uid="{3e4cffd5-85f3-4ce0-b9fc-5eb72f7eec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needs to match what is in Sigma: https://app.sigmacomputing.com/phdata/workbook/MS-Timesheet-Report-tiFskBTCLtCJCiAvoO18i?:nodeId=rmH41byfBv
Need to separate partial weeks into respective months.
</t>
      </text>
    </comment>
    <comment authorId="1" xr:uid="{56113832-4589-42b9-90eb-a87778c78f1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REQUIRED!!!
</t>
      </text>
    </comment>
    <comment authorId="2" xr:uid="{7ce897d6-6d37-4648-9052-5d6f06bed64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REQUIRED!!!
</t>
      </text>
    </comment>
    <comment authorId="3" xr:uid="{9b262c6e-7100-4f23-ab15-8278927759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REQUIRED!!!
</t>
      </text>
    </comment>
  </commentList>
</comments>
</file>

<file path=xl/sharedStrings.xml><?xml version="1.0" encoding="utf-8"?>
<sst xmlns="http://schemas.openxmlformats.org/spreadsheetml/2006/main" count="13136" uniqueCount="1764">
  <si>
    <t>GETTING STARTED</t>
  </si>
  <si>
    <t>Event</t>
  </si>
  <si>
    <t>Calendar Color</t>
  </si>
  <si>
    <t>Date</t>
  </si>
  <si>
    <t>Jira Project Name</t>
  </si>
  <si>
    <t>Dropdown Value</t>
  </si>
  <si>
    <t>Start</t>
  </si>
  <si>
    <t>Calendar Color Name</t>
  </si>
  <si>
    <t>Project Name</t>
  </si>
  <si>
    <t>Hours/Wk</t>
  </si>
  <si>
    <t>Jira Summary Link</t>
  </si>
  <si>
    <t>Color Name</t>
  </si>
  <si>
    <t>This Google Sheet should help make logging time in Jira a little easier. It is a pretty basic tool.</t>
  </si>
  <si>
    <t>Key</t>
  </si>
  <si>
    <r>
      <rPr/>
      <t xml:space="preserve">The Google Apps Script files for this tool can be found here: </t>
    </r>
    <r>
      <rPr>
        <color rgb="FF1155CC"/>
        <u/>
      </rPr>
      <t>https://github.com/philperrin/jira_time_google</t>
    </r>
  </si>
  <si>
    <t>Link</t>
  </si>
  <si>
    <t>Jira Project</t>
  </si>
  <si>
    <t>Name</t>
  </si>
  <si>
    <t>End</t>
  </si>
  <si>
    <t>Status</t>
  </si>
  <si>
    <t>Description</t>
  </si>
  <si>
    <t>Project</t>
  </si>
  <si>
    <t>Event Status</t>
  </si>
  <si>
    <t>Time Logged (h)</t>
  </si>
  <si>
    <t>Code</t>
  </si>
  <si>
    <t>Schedule Time</t>
  </si>
  <si>
    <t>Select Jira</t>
  </si>
  <si>
    <t>PHILOSOPHY</t>
  </si>
  <si>
    <t>Jira Status</t>
  </si>
  <si>
    <t>Issue Key</t>
  </si>
  <si>
    <t>CEOT-1 ([TIME TRACKING] Tableau Onboarding)</t>
  </si>
  <si>
    <t>CEOT-1</t>
  </si>
  <si>
    <t>Duration</t>
  </si>
  <si>
    <t>There are two principles driving why this tool has been developed:</t>
  </si>
  <si>
    <t>1. Jira is "what" work needs to happen.</t>
  </si>
  <si>
    <t>2. Your calendar is "when" the work happens.</t>
  </si>
  <si>
    <t>Therefore:</t>
  </si>
  <si>
    <t>If there is work in your Jira, it needs to be scheduled on your calendar to be worked on.</t>
  </si>
  <si>
    <t>CEOT</t>
  </si>
  <si>
    <t>A particular activity cannot be worked on if it is not represented in your Jira.</t>
  </si>
  <si>
    <t>Your calendar is a temporal representation of your Jira work.</t>
  </si>
  <si>
    <t>[TIME TRACKING] Tableau Onboarding</t>
  </si>
  <si>
    <t>A Jira item that is not scheduled is like telling your parents that you will clean your room later.</t>
  </si>
  <si>
    <t>TIME TRACKING ONLY</t>
  </si>
  <si>
    <t>CFA Analytics Hub Engineering</t>
  </si>
  <si>
    <t>In essense, this tool creates a feedback loop of Jira tasks, which drive calendar events, which become worklogs.</t>
  </si>
  <si>
    <t>CEOT-6 ([TIME TRACKING] Internal Team Meetings)</t>
  </si>
  <si>
    <t>Exceptions:</t>
  </si>
  <si>
    <t>CEOT-6</t>
  </si>
  <si>
    <t>By default, this tool is only intended to be used for client billable time. Like most anything in life, this can be modified.</t>
  </si>
  <si>
    <t>PALE_BLUE</t>
  </si>
  <si>
    <t>PREREQUISITES</t>
  </si>
  <si>
    <t>Jira API Key</t>
  </si>
  <si>
    <t>WMEPO</t>
  </si>
  <si>
    <t>[TIME TRACKING] Internal Team Meetings</t>
  </si>
  <si>
    <t>WM Elastic Operations</t>
  </si>
  <si>
    <t>CEOT-9 ([TIME TRACKING] External Meetings)</t>
  </si>
  <si>
    <t>https://phdata.atlassian.net/jira/software/c/projects/WMEPO/summary</t>
  </si>
  <si>
    <t>CEOT-9</t>
  </si>
  <si>
    <t xml:space="preserve">Grab a Jira API key here: </t>
  </si>
  <si>
    <t>https://id.atlassian.com/manage-profile/security/api-tokens</t>
  </si>
  <si>
    <t>[TIME TRACKING] External Meetings</t>
  </si>
  <si>
    <t>CEOT-622 (Curator Upgrade)</t>
  </si>
  <si>
    <t>CEOT-622</t>
  </si>
  <si>
    <t>Curator Upgrade</t>
  </si>
  <si>
    <t>In Progress</t>
  </si>
  <si>
    <t>CEOT-623 (Slack Notifications: What to do with these?)</t>
  </si>
  <si>
    <t>CEOT-623</t>
  </si>
  <si>
    <t>PALE_GREEN</t>
  </si>
  <si>
    <t>Slack Notifications: What to do with these?</t>
  </si>
  <si>
    <t>Done</t>
  </si>
  <si>
    <t>EEHTSM</t>
  </si>
  <si>
    <t>For full functionality, this tool assumes you use your Google calendar and color code events based on client project.</t>
  </si>
  <si>
    <t>The specifications of your calendar color coding are to be made on the "Allocation" tab.</t>
  </si>
  <si>
    <t>Experian</t>
  </si>
  <si>
    <t>USAGE</t>
  </si>
  <si>
    <t>CEOT-624 (Pipeline and Truncate Process)</t>
  </si>
  <si>
    <t>https://phdata.atlassian.net/jira/software/c/projects/EEHTSM/summary</t>
  </si>
  <si>
    <t>CEOT-624</t>
  </si>
  <si>
    <t>Authorization</t>
  </si>
  <si>
    <t>Pipeline and Truncate Process</t>
  </si>
  <si>
    <t>When you first use this tool, you'll be prompted to authorize usage of it. This is normal - don't panic.</t>
  </si>
  <si>
    <t>"Log Jira Time" Menu</t>
  </si>
  <si>
    <t>CEOT-625 (Deployment Github Action (Adan/Matheus))</t>
  </si>
  <si>
    <t>CEOT-625</t>
  </si>
  <si>
    <t>MAUVE</t>
  </si>
  <si>
    <t/>
  </si>
  <si>
    <t xml:space="preserve">In the menu bar, you should see a custom menu option named "Log Jira Time". </t>
  </si>
  <si>
    <t>PALE_RED</t>
  </si>
  <si>
    <t xml:space="preserve">Clicking on it should show a few menu items: </t>
  </si>
  <si>
    <t>Deployment Github Action (Adan/Matheus)</t>
  </si>
  <si>
    <t xml:space="preserve"> - Populate assignments</t>
  </si>
  <si>
    <t>CEOT-626 (AH2-4309: Create Runbook for Extract Alert Notifications)</t>
  </si>
  <si>
    <t>MP</t>
  </si>
  <si>
    <t>CEOT-626</t>
  </si>
  <si>
    <t>Penske</t>
  </si>
  <si>
    <t xml:space="preserve"> - Schedule calendar events</t>
  </si>
  <si>
    <t>Penske Elastic Operations Core</t>
  </si>
  <si>
    <t xml:space="preserve"> - Import calendar events</t>
  </si>
  <si>
    <t>https://phdata.atlassian.net/jira/software/c/projects/MP/summary</t>
  </si>
  <si>
    <t>AH2-4309: Create Runbook for Extract Alert Notifications</t>
  </si>
  <si>
    <t xml:space="preserve"> - Send time to Jira</t>
  </si>
  <si>
    <t xml:space="preserve"> - Configuration</t>
  </si>
  <si>
    <t xml:space="preserve"> --- Create new Jira task</t>
  </si>
  <si>
    <t>CEOT-627 (AH2-4416: AH Prod Cleanup)</t>
  </si>
  <si>
    <t xml:space="preserve"> --- Add/Update Jira API</t>
  </si>
  <si>
    <t>CEOT-627</t>
  </si>
  <si>
    <t xml:space="preserve"> --- Add/Update Jira Base URL</t>
  </si>
  <si>
    <t xml:space="preserve"> --- Run tests</t>
  </si>
  <si>
    <t>AH2-4416: AH Prod Cleanup</t>
  </si>
  <si>
    <t>CEOT-636 (AH2-4308 - DBX Runbook)</t>
  </si>
  <si>
    <t>CEOT-636</t>
  </si>
  <si>
    <t>YELLOW</t>
  </si>
  <si>
    <t>AH2-4308 - DBX Runbook</t>
  </si>
  <si>
    <t>CEOT-700 (Curator Upgrade Plan)</t>
  </si>
  <si>
    <t>CEOT-700</t>
  </si>
  <si>
    <t>CFA</t>
  </si>
  <si>
    <t>Curator Upgrade Plan</t>
  </si>
  <si>
    <t>https://phdata.atlassian.net/jira/software/c/projects/CEOT/summary</t>
  </si>
  <si>
    <t>CEOT-701 (AH2-4640 - Tablet Views in Tableau)</t>
  </si>
  <si>
    <t>CEOT-701</t>
  </si>
  <si>
    <t>AH2-4640 - Tablet Views in Tableau</t>
  </si>
  <si>
    <t>ORANGE</t>
  </si>
  <si>
    <t>CYAN</t>
  </si>
  <si>
    <t>CEOT-822 (Evaluate Tableau Subscriptions (AH2-3824))</t>
  </si>
  <si>
    <t>Personal</t>
  </si>
  <si>
    <t>CEOT-822</t>
  </si>
  <si>
    <t>GREY</t>
  </si>
  <si>
    <t>Evaluate Tableau Subscriptions (AH2-3824)</t>
  </si>
  <si>
    <t>BLUE</t>
  </si>
  <si>
    <t>CEOT-823 (Research removal of tablet views in Promotion process)</t>
  </si>
  <si>
    <t>CEOT-823</t>
  </si>
  <si>
    <t>GREEN</t>
  </si>
  <si>
    <t>Internal Meeting</t>
  </si>
  <si>
    <t>Research removal of tablet views in Promotion process</t>
  </si>
  <si>
    <t>RED</t>
  </si>
  <si>
    <t>CEOT-824 (Curator thumbnail debugging)</t>
  </si>
  <si>
    <t>CEOT-824</t>
  </si>
  <si>
    <t>Curator thumbnail debugging</t>
  </si>
  <si>
    <t>CEOT-825 (Deployment)</t>
  </si>
  <si>
    <t>CEOT-825</t>
  </si>
  <si>
    <t>Deployment</t>
  </si>
  <si>
    <t>CEOT-831 (AH2-5062: Investigate and Document Curator Dashboard Access Issue Caused by Cache Inconsistencies)</t>
  </si>
  <si>
    <t>CEOT-831</t>
  </si>
  <si>
    <t>AH2-5062: Investigate and Document Curator Dashboard Access Issue Caused by Cache Inconsistencies</t>
  </si>
  <si>
    <t>Backlog</t>
  </si>
  <si>
    <t>Jira ID</t>
  </si>
  <si>
    <t>JTTP-3 (Develop AI agent to populate events in calendar based on priority conversation)</t>
  </si>
  <si>
    <t>JTTP-3</t>
  </si>
  <si>
    <t>Time Start</t>
  </si>
  <si>
    <t>JTTP</t>
  </si>
  <si>
    <t>Develop AI agent to populate events in calendar based on priority conversation</t>
  </si>
  <si>
    <t>To Do</t>
  </si>
  <si>
    <t>Jira Time Tracking (Perrin)</t>
  </si>
  <si>
    <t>JTTP-4 (History tab)</t>
  </si>
  <si>
    <t>JTTP-4</t>
  </si>
  <si>
    <t>History tab</t>
  </si>
  <si>
    <t>JTTP-6 (Charts: Current week)</t>
  </si>
  <si>
    <t>JTTP-6</t>
  </si>
  <si>
    <t>Charts: Current week</t>
  </si>
  <si>
    <t>JTTP-7 (Charts: Past month)</t>
  </si>
  <si>
    <t>JTTP-7</t>
  </si>
  <si>
    <t>Charts: Past month</t>
  </si>
  <si>
    <t>JTTP-8 (Charts: YTD)</t>
  </si>
  <si>
    <t>JTTP-8</t>
  </si>
  <si>
    <t>Charts: YTD</t>
  </si>
  <si>
    <t>JTTP-9 (Host code on github and use github actions to push updates to Google Apps Script.)</t>
  </si>
  <si>
    <t>JTTP-9</t>
  </si>
  <si>
    <t>Host code on github and use github actions to push updates to Google Apps Script.</t>
  </si>
  <si>
    <t>MP-152 (Penske Internal Meeting - Tableau)</t>
  </si>
  <si>
    <t>MP-152</t>
  </si>
  <si>
    <t>Penske Internal Meeting - Tableau</t>
  </si>
  <si>
    <t>MP-153 (Penske External Meeting - Tableau)</t>
  </si>
  <si>
    <t>MP-153</t>
  </si>
  <si>
    <t>Penske External Meeting - Tableau</t>
  </si>
  <si>
    <t>MP-154 (Penske Operations - Jira)</t>
  </si>
  <si>
    <t>MP-154</t>
  </si>
  <si>
    <t>Penske Operations - Jira</t>
  </si>
  <si>
    <t>MP-156 (Runbook Updates)</t>
  </si>
  <si>
    <t>Hours</t>
  </si>
  <si>
    <t>MP-156</t>
  </si>
  <si>
    <t>All Dates</t>
  </si>
  <si>
    <t>Prior Month</t>
  </si>
  <si>
    <t>Runbook Updates</t>
  </si>
  <si>
    <t>Current Month</t>
  </si>
  <si>
    <t>MP-157 (KT)</t>
  </si>
  <si>
    <t>MP-157</t>
  </si>
  <si>
    <t>KT</t>
  </si>
  <si>
    <t>MP-158 (Meeting Prep)</t>
  </si>
  <si>
    <t>MP-158</t>
  </si>
  <si>
    <t>Meeting Prep</t>
  </si>
  <si>
    <t>MP-159 (Task Dashboard Review)</t>
  </si>
  <si>
    <t>MP-159</t>
  </si>
  <si>
    <t>Task Dashboard Review</t>
  </si>
  <si>
    <t>30m</t>
  </si>
  <si>
    <t>MP-161 (Email support)</t>
  </si>
  <si>
    <t>MP-161</t>
  </si>
  <si>
    <t>Email support</t>
  </si>
  <si>
    <t>MP-1055 (Runbook details on Viewer Licenses)</t>
  </si>
  <si>
    <t>MP-1055</t>
  </si>
  <si>
    <t>Runbook details on Viewer Licenses</t>
  </si>
  <si>
    <t>WMEPO-1444 (Update Runbook (general, not tied to existing task))</t>
  </si>
  <si>
    <t>WMEPO-1444</t>
  </si>
  <si>
    <t>Update Runbook (general, not tied to existing task)</t>
  </si>
  <si>
    <t>WMEPO-31819 (Pull data on historical / current refresh time)</t>
  </si>
  <si>
    <t>WMEPO-31819</t>
  </si>
  <si>
    <t>Pull data on historical / current refresh time</t>
  </si>
  <si>
    <t>WMEPO-36006 (Configuring AWS Glue jobs for Control Tower)</t>
  </si>
  <si>
    <t>WMEPO-36006</t>
  </si>
  <si>
    <t>Configuring AWS Glue jobs for Control Tower</t>
  </si>
  <si>
    <t>3x Last Week</t>
  </si>
  <si>
    <t>WMEPO-36886 (Sigma: Workbook testing)</t>
  </si>
  <si>
    <t>WMEPO-36886</t>
  </si>
  <si>
    <t>2x Last Week</t>
  </si>
  <si>
    <t>Last Week</t>
  </si>
  <si>
    <t>This Week</t>
  </si>
  <si>
    <t>Sigma: Workbook testing</t>
  </si>
  <si>
    <t>WMEPO-36887 (Sigma: Admin Modifications)</t>
  </si>
  <si>
    <t>WMEPO-36887</t>
  </si>
  <si>
    <t>Sigma: Admin Modifications</t>
  </si>
  <si>
    <t>WMEPO-36888 (Sigma: Documentation)</t>
  </si>
  <si>
    <t>WMEPO-36888</t>
  </si>
  <si>
    <t>Sigma: Documentation</t>
  </si>
  <si>
    <t>WMEPO-36889 (Sigma: Report Testing)</t>
  </si>
  <si>
    <t>WMEPO-36889</t>
  </si>
  <si>
    <t>Sigma: Report Testing</t>
  </si>
  <si>
    <t>WMEPO-36890 (Sigma: Snowflake Integration)</t>
  </si>
  <si>
    <t>WMEPO-36890</t>
  </si>
  <si>
    <t>Sigma: Snowflake Integration</t>
  </si>
  <si>
    <t>WMEPO-36891 (Internal meeting)</t>
  </si>
  <si>
    <t>WMEPO-36891</t>
  </si>
  <si>
    <t>Internal meeting</t>
  </si>
  <si>
    <t>WMEPO-36892 (External meeting)</t>
  </si>
  <si>
    <t>WMEPO-36892</t>
  </si>
  <si>
    <t>External meeting</t>
  </si>
  <si>
    <t>WMEPO-42203 (Sigma: Deployment operations (Finance))</t>
  </si>
  <si>
    <t>WMEPO-42203</t>
  </si>
  <si>
    <t>Sigma: Deployment operations (Finance)</t>
  </si>
  <si>
    <t>WMEPO-46191 (Sigma: OAuth validation and architecture)</t>
  </si>
  <si>
    <t>WMEPO-46191</t>
  </si>
  <si>
    <t>Sigma: OAuth validation and architecture</t>
  </si>
  <si>
    <t>WMEPO-46192 (AWS Glue)</t>
  </si>
  <si>
    <t>WMEPO-46192</t>
  </si>
  <si>
    <t>AWS Glue</t>
  </si>
  <si>
    <t>WMEPO-46195 (Dashboard with the table calc Anitha put together (showing BI Service Account data access))</t>
  </si>
  <si>
    <t>WMEPO-46195</t>
  </si>
  <si>
    <t>Dashboard with the table calc Anitha put together (showing BI Service Account data access)</t>
  </si>
  <si>
    <t>WMEPO-50631 (AI for BI at WM)</t>
  </si>
  <si>
    <t>WMEPO-50631</t>
  </si>
  <si>
    <t>AI for BI at WM</t>
  </si>
  <si>
    <t>WMEPO-51111 (Quarterly password reset automations)</t>
  </si>
  <si>
    <t>WMEPO-31148</t>
  </si>
  <si>
    <t>WMEPO-51111</t>
  </si>
  <si>
    <t>Total</t>
  </si>
  <si>
    <t>Quarterly password reset automations</t>
  </si>
  <si>
    <t>In Review</t>
  </si>
  <si>
    <t>WMEPO-51112 (Bigpanda Alerts Automation)</t>
  </si>
  <si>
    <t>WMEPO-51112</t>
  </si>
  <si>
    <t>Bigpanda Alerts Automation</t>
  </si>
  <si>
    <t>60m</t>
  </si>
  <si>
    <t>fields.project.key</t>
  </si>
  <si>
    <t>WMEPO-51147 (Sigma: OPERATIONS_COLLECTIONS_PRD)</t>
  </si>
  <si>
    <t>WMEPO-51147</t>
  </si>
  <si>
    <t>issue.key</t>
  </si>
  <si>
    <t>fields.summary</t>
  </si>
  <si>
    <t>fields.worklog.worklogs.timeSpent</t>
  </si>
  <si>
    <t>fields.worklog.worklogs.started</t>
  </si>
  <si>
    <t>fields.worklog.worklogs.timeSpent.hours</t>
  </si>
  <si>
    <t>Sigma: OPERATIONS_COLLECTIONS_PRD</t>
  </si>
  <si>
    <t>fields.worklog.worklogs.started.month</t>
  </si>
  <si>
    <t>WMEPO-58263 (WM CHG Ticket Process)</t>
  </si>
  <si>
    <t>WMEPO-58263</t>
  </si>
  <si>
    <t>WM CHG Ticket Process</t>
  </si>
  <si>
    <t>1h</t>
  </si>
  <si>
    <t>2026-07-20T13:30:00.000-0500</t>
  </si>
  <si>
    <t>WMEPO-31815</t>
  </si>
  <si>
    <t>2026-07-21T14:00:00.000-0500</t>
  </si>
  <si>
    <t>WMEPO-60547 (Update dbt for Power BI Control Tower)</t>
  </si>
  <si>
    <t>WMEPO-60547</t>
  </si>
  <si>
    <t>2026-07-22T12:30:00.000-0500</t>
  </si>
  <si>
    <t>2026-07-23T08:30:00.000-0500</t>
  </si>
  <si>
    <t>Update dbt for Power BI Control Tower</t>
  </si>
  <si>
    <t>2026-07-23T11:30:00.000-0500</t>
  </si>
  <si>
    <t>1h 30m</t>
  </si>
  <si>
    <t>2026-08-03T11:00:00.000-0500</t>
  </si>
  <si>
    <t>2026-08-04T08:30:00.000-0500</t>
  </si>
  <si>
    <t>45m</t>
  </si>
  <si>
    <t>2026-08-04T16:15:00.000-0500</t>
  </si>
  <si>
    <t>2026-08-05T08:30:00.000-0500</t>
  </si>
  <si>
    <t>2026-08-05T12:00:00.000-0500</t>
  </si>
  <si>
    <t>2026-05-20T12:30:00.000-0500</t>
  </si>
  <si>
    <t>90m</t>
  </si>
  <si>
    <t>2026-06-10T16:00:00.000-0500</t>
  </si>
  <si>
    <t>2026-05-20T15:00:00.000-0500</t>
  </si>
  <si>
    <t>2026-07-23T09:00:00.000-0500</t>
  </si>
  <si>
    <t>2026-05-20T14:00:00.000-0500</t>
  </si>
  <si>
    <t>2026-06-03T11:30:00.000-0500</t>
  </si>
  <si>
    <t>2026-06-04T12:00:00.000-0500</t>
  </si>
  <si>
    <t>2026-06-04T15:30:00.000-0500</t>
  </si>
  <si>
    <t>2026-06-05T10:00:00.000-0500</t>
  </si>
  <si>
    <t>2026-06-22T13:00:00.000-0500</t>
  </si>
  <si>
    <t>2026-06-23T15:00:00.000-0500</t>
  </si>
  <si>
    <t>2026-06-24T12:00:00.000-0500</t>
  </si>
  <si>
    <t>2026-07-23T10:00:00.000-0500</t>
  </si>
  <si>
    <t>2026-05-19T17:30:00.000-0500</t>
  </si>
  <si>
    <t>2026-05-22T12:30:00.000-0500</t>
  </si>
  <si>
    <t>2026-05-27T21:00:00.000-0500</t>
  </si>
  <si>
    <t>2026-05-28T11:30:00.000-0500</t>
  </si>
  <si>
    <t>2026-05-28T19:00:00.000-0500</t>
  </si>
  <si>
    <t>2026-05-29T11:30:00.000-0500</t>
  </si>
  <si>
    <t>2026-05-29T13:00:00.000-0500</t>
  </si>
  <si>
    <t>2026-06-01T10:00:00.000-0500</t>
  </si>
  <si>
    <t>2026-06-01T17:00:00.000-0500</t>
  </si>
  <si>
    <t>2026-06-03T13:30:00.000-0500</t>
  </si>
  <si>
    <t>MITA</t>
  </si>
  <si>
    <t>2026-06-05T09:00:00.000-0500</t>
  </si>
  <si>
    <t>2026-06-05T09:30:00.000-0500</t>
  </si>
  <si>
    <t>2026-06-09T14:30:00.000-0500</t>
  </si>
  <si>
    <t>2026-06-26T12:00:00.000-0500</t>
  </si>
  <si>
    <t>2026-06-26T14:00:00.000-0500</t>
  </si>
  <si>
    <t>2026-06-26T17:00:00.000-0500</t>
  </si>
  <si>
    <t>2026-06-29T09:30:00.000-0500</t>
  </si>
  <si>
    <t>2026-06-30T14:30:00.000-0500</t>
  </si>
  <si>
    <t>2026-07-02T09:00:00.000-0500</t>
  </si>
  <si>
    <t>2026-07-10T09:30:00.000-0500</t>
  </si>
  <si>
    <t>2026-07-21T16:00:00.000-0500</t>
  </si>
  <si>
    <t>2026-07-22T13:00:00.000-0500</t>
  </si>
  <si>
    <t>2026-07-24T09:30:00.000-0500</t>
  </si>
  <si>
    <t>2026-07-27T08:30:00.000-0500</t>
  </si>
  <si>
    <t>2026-08-03T12:30:00.000-0500</t>
  </si>
  <si>
    <t>2026-08-06T09:00:00.000-0500</t>
  </si>
  <si>
    <t>2026-06-29T16:00:00.000-0500</t>
  </si>
  <si>
    <t>2026-06-30T21:00:00.000-0500</t>
  </si>
  <si>
    <t>2026-07-01T09:30:00.000-0500</t>
  </si>
  <si>
    <t>2026-08-06T12:00:00.000-0500</t>
  </si>
  <si>
    <t>2026-08-07T08:30:00.000-0500</t>
  </si>
  <si>
    <t>2026-08-07T13:00:00.000-0500</t>
  </si>
  <si>
    <t>2026-05-12T17:00:00.000-0500</t>
  </si>
  <si>
    <t>2026-05-13T17:00:00.000-0500</t>
  </si>
  <si>
    <t>2026-05-20T11:00:00.000-0500</t>
  </si>
  <si>
    <t>WMEPO-43939</t>
  </si>
  <si>
    <t xml:space="preserve">BI Support -- WM -- SCTASK0186500: </t>
  </si>
  <si>
    <t>2026-05-04T11:00:00.000-0500</t>
  </si>
  <si>
    <t>2026-05-11T16:30:00.000-0500</t>
  </si>
  <si>
    <t>2026-05-12T14:00:00.000-0500</t>
  </si>
  <si>
    <t>2026-05-20T18:30:00.000-0500</t>
  </si>
  <si>
    <t>WMEPO-39315</t>
  </si>
  <si>
    <t>SPARC Report</t>
  </si>
  <si>
    <t>5h</t>
  </si>
  <si>
    <t>2026-02-02T16:00:00.000-0600</t>
  </si>
  <si>
    <t>2026-02-13T10:00:00.000-0600</t>
  </si>
  <si>
    <t>2026-02-18T15:00:00.000-0600</t>
  </si>
  <si>
    <t>2026-02-23T10:30:00.000-0600</t>
  </si>
  <si>
    <t>2026-02-25T15:00:00.000-0600</t>
  </si>
  <si>
    <t>2026-03-11T12:30:00.000-0500</t>
  </si>
  <si>
    <t>WMEPO-39221</t>
  </si>
  <si>
    <t xml:space="preserve">Snowflake -- WM -- P4 INC4446469: Kumer Abhas  -- Need to add databases to Sigma FINANCE_BILLING_QAT Connection </t>
  </si>
  <si>
    <t>2026-02-02T11:00:00.000-0600</t>
  </si>
  <si>
    <t>WMEPO-36895</t>
  </si>
  <si>
    <t>OPUS Route Details</t>
  </si>
  <si>
    <t>2026-01-06T15:30:00.000-0600</t>
  </si>
  <si>
    <t>2026-01-07T12:00:00.000-0600</t>
  </si>
  <si>
    <t>2026-01-08T13:30:00.000-0600</t>
  </si>
  <si>
    <t>2h</t>
  </si>
  <si>
    <t>2026-01-09T11:30:00.000-0600</t>
  </si>
  <si>
    <t>2026-01-09T17:00:00.000-0600</t>
  </si>
  <si>
    <t>2026-01-15T13:30:00.000-0600</t>
  </si>
  <si>
    <t>2026-01-21T10:30:00.000-0600</t>
  </si>
  <si>
    <t>2026-02-12T13:30:00.000-0600</t>
  </si>
  <si>
    <t>2026-04-21T10:00:00.000-0500</t>
  </si>
  <si>
    <t>2026-05-08T10:30:00.000-0500</t>
  </si>
  <si>
    <t>2026-05-20T11:30:00.000-0500</t>
  </si>
  <si>
    <t>2026-06-02T14:00:00.000-0500</t>
  </si>
  <si>
    <t>2026-07-02T08:30:00.000-0500</t>
  </si>
  <si>
    <t>2026-07-22T08:30:00.000-0500</t>
  </si>
  <si>
    <t>TEXT SUMMARY</t>
  </si>
  <si>
    <t>2026-01-06T10:00:00.000-0600</t>
  </si>
  <si>
    <t>2026-01-08T08:00:00.000-0600</t>
  </si>
  <si>
    <t>2026-01-12T10:00:00.000-0600</t>
  </si>
  <si>
    <t>Holidays</t>
  </si>
  <si>
    <t>TARGET ALLOCATION (WEEK)</t>
  </si>
  <si>
    <t>2026-01-20T10:00:00.000-0600</t>
  </si>
  <si>
    <t>2026-01-28T12:00:00.000-0600</t>
  </si>
  <si>
    <t>TARGET ALLOCATION (MONTH)</t>
  </si>
  <si>
    <t>2026-02-03T10:00:00.000-0600</t>
  </si>
  <si>
    <t>ACTUAL BILLABLE</t>
  </si>
  <si>
    <t>2026-02-09T10:00:00.000-0600</t>
  </si>
  <si>
    <t>2026-02-11T13:00:00.000-0600</t>
  </si>
  <si>
    <t>% BILLABLE TO TARGET</t>
  </si>
  <si>
    <t>2026-03-24T12:30:00.000-0500</t>
  </si>
  <si>
    <t>2026-04-27T09:30:00.000-0500</t>
  </si>
  <si>
    <t>RUNNING % BILLABLE TO TARGET</t>
  </si>
  <si>
    <t>2026-05-04T09:30:00.000-0500</t>
  </si>
  <si>
    <t>2026-05-05T11:00:00.000-0500</t>
  </si>
  <si>
    <t>2026-05-07T10:00:00.000-0500</t>
  </si>
  <si>
    <t>2026-05-11T09:30:00.000-0500</t>
  </si>
  <si>
    <t>2026-05-13T13:30:00.000-0500</t>
  </si>
  <si>
    <t>Week of</t>
  </si>
  <si>
    <t>Full/Partial Week</t>
  </si>
  <si>
    <t>2026-05-18T09:00:00.000-0500</t>
  </si>
  <si>
    <t>2026-05-18T09:30:00.000-0500</t>
  </si>
  <si>
    <t>2026-05-27T12:00:00.000-0500</t>
  </si>
  <si>
    <t>Month of</t>
  </si>
  <si>
    <t>Work Days in Month</t>
  </si>
  <si>
    <t>2026-06-01T09:30:00.000-0500</t>
  </si>
  <si>
    <t>Work Hours in Month</t>
  </si>
  <si>
    <t>25m</t>
  </si>
  <si>
    <t>2026-06-01T15:30:00.000-0500</t>
  </si>
  <si>
    <t>2026-07-01T10:00:00.000-0500</t>
  </si>
  <si>
    <t>% Allocated</t>
  </si>
  <si>
    <t>2026-07-15T10:00:00.000-0500</t>
  </si>
  <si>
    <t>2026-07-21T10:00:00.000-0500</t>
  </si>
  <si>
    <t>2026-07-27T10:00:00.000-0500</t>
  </si>
  <si>
    <t>2026-07-29T10:00:00.000-0500</t>
  </si>
  <si>
    <t>TOTAL</t>
  </si>
  <si>
    <t>2026-02-10T17:30:00.000-0600</t>
  </si>
  <si>
    <t>2026-03-09T14:00:00.000-0500</t>
  </si>
  <si>
    <t>2026-03-24T11:30:00.000-0500</t>
  </si>
  <si>
    <t>MONTH</t>
  </si>
  <si>
    <t>2026-03-31T10:00:00.000-0500</t>
  </si>
  <si>
    <t>15m</t>
  </si>
  <si>
    <t>2026-04-13T09:15:00.000-0500</t>
  </si>
  <si>
    <t>2h 30m</t>
  </si>
  <si>
    <t>2026-04-13T15:30:00.000-0500</t>
  </si>
  <si>
    <t>Lower Target</t>
  </si>
  <si>
    <t>2026-04-14T08:00:00.000-0500</t>
  </si>
  <si>
    <t>Upper Target</t>
  </si>
  <si>
    <t>2026-04-14T12:00:00.000-0500</t>
  </si>
  <si>
    <t>2026-04-17T13:00:00.000-0500</t>
  </si>
  <si>
    <t>2026-04-17T15:00:00.000-0500</t>
  </si>
  <si>
    <t>2026-04-23T13:00:00.000-0500</t>
  </si>
  <si>
    <t>2026-05-18T14:30:00.000-0500</t>
  </si>
  <si>
    <t>2026-05-21T19:30:00.000-0500</t>
  </si>
  <si>
    <t>2026-01-16T18:00:00.000-0600</t>
  </si>
  <si>
    <t>2026-01-20T10:30:00.000-0600</t>
  </si>
  <si>
    <t>2026-01-21T10:00:00.000-0600</t>
  </si>
  <si>
    <t>2026-01-26T19:00:00.000-0600</t>
  </si>
  <si>
    <t>2026-02-02T14:30:00.000-0600</t>
  </si>
  <si>
    <t>2026-02-16T18:00:00.000-0600</t>
  </si>
  <si>
    <t>2026-02-19T14:00:00.000-0600</t>
  </si>
  <si>
    <t>2026-02-19T16:00:00.000-0600</t>
  </si>
  <si>
    <t>1h 15m</t>
  </si>
  <si>
    <t>2026-02-24T16:15:00.000-0600</t>
  </si>
  <si>
    <t>2026-02-25T16:15:00.000-0600</t>
  </si>
  <si>
    <t>2026-03-12T09:00:00.000-0500</t>
  </si>
  <si>
    <t>2026-03-12T16:15:00.000-0500</t>
  </si>
  <si>
    <t>2026-03-13T13:00:00.000-0500</t>
  </si>
  <si>
    <t>2026-03-16T11:30:00.000-0500</t>
  </si>
  <si>
    <t>2026-04-07T09:00:00.000-0500</t>
  </si>
  <si>
    <t>2026-04-23T07:15:00.000-0500</t>
  </si>
  <si>
    <t>2026-05-12T14:30:00.000-0500</t>
  </si>
  <si>
    <t>2026-01-08T16:00:00.000-0600</t>
  </si>
  <si>
    <t>2026-01-15T10:30:00.000-0600</t>
  </si>
  <si>
    <t>2026-01-15T15:30:00.000-0600</t>
  </si>
  <si>
    <t>2026-01-16T11:00:00.000-0600</t>
  </si>
  <si>
    <t>2026-01-20T11:00:00.000-0600</t>
  </si>
  <si>
    <t>2026-01-21T15:00:00.000-0600</t>
  </si>
  <si>
    <t>2026-01-22T16:30:00.000-0600</t>
  </si>
  <si>
    <t>2026-02-03T14:30:00.000-0600</t>
  </si>
  <si>
    <t>P2</t>
  </si>
  <si>
    <t>2026-02-06T22:00:00.000-0600</t>
  </si>
  <si>
    <t>2026-02-27T15:00:00.000-0600</t>
  </si>
  <si>
    <t>2026-03-18T10:00:00.000-0500</t>
  </si>
  <si>
    <t>2026-03-24T22:30:00.000-0500</t>
  </si>
  <si>
    <t>2026-03-27T14:00:00.000-0500</t>
  </si>
  <si>
    <t>2026-03-30T14:00:00.000-0500</t>
  </si>
  <si>
    <t>2026-03-30T15:00:00.000-0500</t>
  </si>
  <si>
    <t>2026-04-10T16:15:00.000-0500</t>
  </si>
  <si>
    <t>2026-04-27T08:30:00.000-0500</t>
  </si>
  <si>
    <t>2026-05-11T13:00:00.000-0500</t>
  </si>
  <si>
    <t>2026-05-12T16:00:00.000-0500</t>
  </si>
  <si>
    <t>2026-01-07T15:00:00.000-0600</t>
  </si>
  <si>
    <t>2026-01-09T16:00:00.000-0600</t>
  </si>
  <si>
    <t>2026-01-13T14:00:00.000-0600</t>
  </si>
  <si>
    <t>2026-01-21T14:00:00.000-0600</t>
  </si>
  <si>
    <t>2026-02-09T17:45:00.000-0600</t>
  </si>
  <si>
    <t>2026-02-17T07:00:00.000-0600</t>
  </si>
  <si>
    <t>2026-02-20T13:30:00.000-0600</t>
  </si>
  <si>
    <t>2026-02-23T16:15:00.000-0600</t>
  </si>
  <si>
    <t>2026-03-12T13:00:00.000-0500</t>
  </si>
  <si>
    <t>2026-03-17T10:30:00.000-0500</t>
  </si>
  <si>
    <t>2026-04-03T11:30:00.000-0500</t>
  </si>
  <si>
    <t>2026-04-07T16:15:00.000-0500</t>
  </si>
  <si>
    <t>MP-151</t>
  </si>
  <si>
    <t>2026-04-08T13:00:00.000-0500</t>
  </si>
  <si>
    <t>2026-04-09T07:00:00.000-0500</t>
  </si>
  <si>
    <t>2026-04-09T12:30:00.000-0500</t>
  </si>
  <si>
    <t>2026-04-10T14:00:00.000-0500</t>
  </si>
  <si>
    <t>2026-04-20T15:00:00.000-0500</t>
  </si>
  <si>
    <t>2026-04-20T22:00:00.000-0500</t>
  </si>
  <si>
    <t>2026-04-22T22:00:00.000-0500</t>
  </si>
  <si>
    <t>2026-05-04T10:00:00.000-0500</t>
  </si>
  <si>
    <t>2026-05-04T14:30:00.000-0500</t>
  </si>
  <si>
    <t>2026-05-14T21:30:00.000-0500</t>
  </si>
  <si>
    <t>2026-05-19T18:00:00.000-0500</t>
  </si>
  <si>
    <t>2026-05-20T09:30:00.000-0500</t>
  </si>
  <si>
    <t>2026-05-20T10:00:00.000-0500</t>
  </si>
  <si>
    <t>2026-05-27T16:00:00.000-0500</t>
  </si>
  <si>
    <t>2026-01-05T15:30:00.000-0600</t>
  </si>
  <si>
    <t>2026-01-06T10:30:00.000-0600</t>
  </si>
  <si>
    <t>2026-01-06T14:30:00.000-0600</t>
  </si>
  <si>
    <t>2026-01-13T15:00:00.000-0600</t>
  </si>
  <si>
    <t>2026-01-14T12:00:00.000-0600</t>
  </si>
  <si>
    <t>2026-01-15T16:00:00.000-0600</t>
  </si>
  <si>
    <t>2026-01-21T16:30:00.000-0600</t>
  </si>
  <si>
    <t>2026-01-22T12:00:00.000-0600</t>
  </si>
  <si>
    <t>2026-01-23T17:30:00.000-0600</t>
  </si>
  <si>
    <t>2026-01-28T15:00:00.000-0600</t>
  </si>
  <si>
    <t>2026-02-05T16:00:00.000-0600</t>
  </si>
  <si>
    <t>2026-02-09T11:30:00.000-0600</t>
  </si>
  <si>
    <t>2026-02-18T15:30:00.000-0600</t>
  </si>
  <si>
    <t>2026-02-20T18:30:00.000-0600</t>
  </si>
  <si>
    <t>2026-02-26T13:00:00.000-0600</t>
  </si>
  <si>
    <t>2026-03-02T17:00:00.000-0600</t>
  </si>
  <si>
    <t>2026-03-03T10:30:00.000-0600</t>
  </si>
  <si>
    <t>2026-03-04T15:00:00.000-0600</t>
  </si>
  <si>
    <t>2026-03-05T08:00:00.000-0600</t>
  </si>
  <si>
    <t>2026-03-05T14:00:00.000-0600</t>
  </si>
  <si>
    <t>2026-03-13T10:30:00.000-0500</t>
  </si>
  <si>
    <t>2026-04-02T11:00:00.000-0500</t>
  </si>
  <si>
    <t>2026-05-13T15:00:00.000-0500</t>
  </si>
  <si>
    <t>2026-05-15T17:30:00.000-0500</t>
  </si>
  <si>
    <t>WMEPO-36885</t>
  </si>
  <si>
    <t>Sigma Infrastructure Architecture</t>
  </si>
  <si>
    <t>2026-01-12T14:00:00.000-0600</t>
  </si>
  <si>
    <t>2026-01-15T13:00:00.000-0600</t>
  </si>
  <si>
    <t>2026-02-02T10:00:00.000-0600</t>
  </si>
  <si>
    <t>2026-02-04T11:30:00.000-0600</t>
  </si>
  <si>
    <t>2026-02-04T16:30:00.000-0600</t>
  </si>
  <si>
    <t>2026-02-06T16:00:00.000-0600</t>
  </si>
  <si>
    <t>2026-02-11T12:30:00.000-0600</t>
  </si>
  <si>
    <t>2026-02-11T16:45:00.000-0600</t>
  </si>
  <si>
    <t>2026-02-12T13:00:00.000-0600</t>
  </si>
  <si>
    <t>2026-02-12T14:00:00.000-0600</t>
  </si>
  <si>
    <t>2026-02-13T13:00:00.000-0600</t>
  </si>
  <si>
    <t>2026-01-05T09:00:00.000-0600</t>
  </si>
  <si>
    <t>2026-01-05T15:00:00.000-0600</t>
  </si>
  <si>
    <t>2026-01-12T09:30:00.000-0600</t>
  </si>
  <si>
    <t>2026-01-13T13:00:00.000-0600</t>
  </si>
  <si>
    <t>2026-01-14T11:30:00.000-0600</t>
  </si>
  <si>
    <t>2026-01-16T12:00:00.000-0600</t>
  </si>
  <si>
    <t>2026-01-20T19:30:00.000-0600</t>
  </si>
  <si>
    <t>2026-01-22T14:30:00.000-0600</t>
  </si>
  <si>
    <t>2026-01-26T10:30:00.000-0600</t>
  </si>
  <si>
    <t>2026-01-28T11:30:00.000-0600</t>
  </si>
  <si>
    <t>F</t>
  </si>
  <si>
    <t>2026-02-03T08:00:00.000-0600</t>
  </si>
  <si>
    <t>2026-02-05T13:00:00.000-0600</t>
  </si>
  <si>
    <t>2026-02-06T11:00:00.000-0600</t>
  </si>
  <si>
    <t>2026-02-06T13:00:00.000-0600</t>
  </si>
  <si>
    <t>2026-02-09T12:30:00.000-0600</t>
  </si>
  <si>
    <t>2026-02-16T11:00:00.000-0600</t>
  </si>
  <si>
    <t>MP-155</t>
  </si>
  <si>
    <t>2026-02-16T11:30:00.000-0600</t>
  </si>
  <si>
    <t>2026-02-16T12:00:00.000-0600</t>
  </si>
  <si>
    <t>2026-02-16T12:30:00.000-0600</t>
  </si>
  <si>
    <t>2026-02-18T07:00:00.000-0600</t>
  </si>
  <si>
    <t>2026-02-23T07:30:00.000-0600</t>
  </si>
  <si>
    <t>120m</t>
  </si>
  <si>
    <t>2026-03-02T16:00:00.000-0600</t>
  </si>
  <si>
    <t>2026-03-04T16:00:00.000-0600</t>
  </si>
  <si>
    <t>1h 45m</t>
  </si>
  <si>
    <t>2026-03-10T16:15:00.000-0500</t>
  </si>
  <si>
    <t>2026-03-18T16:00:00.000-0500</t>
  </si>
  <si>
    <t>2026-04-24T19:00:00.000-0500</t>
  </si>
  <si>
    <t>2026-05-19T12:00:00.000-0500</t>
  </si>
  <si>
    <t>2026-07-01T15:00:00.000-0500</t>
  </si>
  <si>
    <t>2026-07-08T17:00:00.000-0500</t>
  </si>
  <si>
    <t>2026-07-09T08:00:00.000-0500</t>
  </si>
  <si>
    <t>2026-07-09T12:00:00.000-0500</t>
  </si>
  <si>
    <t>2026-07-09T15:30:00.000-0500</t>
  </si>
  <si>
    <t>2026-07-10T10:00:00.000-0500</t>
  </si>
  <si>
    <t>2026-07-13T13:30:00.000-0500</t>
  </si>
  <si>
    <t>2026-07-15T11:30:00.000-0500</t>
  </si>
  <si>
    <t>2026-07-15T16:00:00.000-0500</t>
  </si>
  <si>
    <t>2026-07-16T08:30:00.000-0500</t>
  </si>
  <si>
    <t>2026-07-16T12:00:00.000-0500</t>
  </si>
  <si>
    <t>2026-07-20T12:30:00.000-0500</t>
  </si>
  <si>
    <t>2026-07-21T15:00:00.000-0500</t>
  </si>
  <si>
    <t>2026-07-23T16:00:00.000-0500</t>
  </si>
  <si>
    <t>2026-07-24T09:00:00.000-0500</t>
  </si>
  <si>
    <t>2026-07-24T10:00:00.000-0500</t>
  </si>
  <si>
    <t>2026-07-24T13:30:00.000-0500</t>
  </si>
  <si>
    <t>2026-07-27T09:00:00.000-0500</t>
  </si>
  <si>
    <t>2026-07-27T12:00:00.000-0500</t>
  </si>
  <si>
    <t>2026-07-28T08:00:00.000-0500</t>
  </si>
  <si>
    <t>2026-07-28T10:00:00.000-0500</t>
  </si>
  <si>
    <t>2026-07-28T16:00:00.000-0500</t>
  </si>
  <si>
    <t>2026-07-29T09:30:00.000-0500</t>
  </si>
  <si>
    <t>2026-07-29T10:30:00.000-0500</t>
  </si>
  <si>
    <t>2026-07-29T14:00:00.000-0500</t>
  </si>
  <si>
    <t>2026-07-30T09:00:00.000-0500</t>
  </si>
  <si>
    <t>2026-07-30T11:00:00.000-0500</t>
  </si>
  <si>
    <t>2026-07-31T09:30:00.000-0500</t>
  </si>
  <si>
    <t>2026-07-31T14:30:00.000-0500</t>
  </si>
  <si>
    <t>2026-01-05T10:00:00.000-0600</t>
  </si>
  <si>
    <t>2026-01-06T09:00:00.000-0600</t>
  </si>
  <si>
    <t>2026-01-12T09:00:00.000-0600</t>
  </si>
  <si>
    <t>2026-01-13T09:30:00.000-0600</t>
  </si>
  <si>
    <t>2026-01-13T11:00:00.000-0600</t>
  </si>
  <si>
    <t>2026-01-14T11:00:00.000-0600</t>
  </si>
  <si>
    <t>2026-01-16T09:00:00.000-0600</t>
  </si>
  <si>
    <t>2026-01-20T08:00:00.000-0600</t>
  </si>
  <si>
    <t>2026-01-21T12:00:00.000-0600</t>
  </si>
  <si>
    <t>2026-01-22T08:00:00.000-0600</t>
  </si>
  <si>
    <t>2026-01-23T08:00:00.000-0600</t>
  </si>
  <si>
    <t>2026-01-26T09:30:00.000-0600</t>
  </si>
  <si>
    <t>2026-01-27T10:00:00.000-0600</t>
  </si>
  <si>
    <t>2026-01-28T11:00:00.000-0600</t>
  </si>
  <si>
    <t>2026-01-30T11:30:00.000-0600</t>
  </si>
  <si>
    <t>2026-02-02T08:00:00.000-0600</t>
  </si>
  <si>
    <t>2026-02-03T07:30:00.000-0600</t>
  </si>
  <si>
    <t>2026-02-05T10:30:00.000-0600</t>
  </si>
  <si>
    <t>2026-02-09T07:30:00.000-0600</t>
  </si>
  <si>
    <t>2026-02-17T15:30:00.000-0600</t>
  </si>
  <si>
    <t>2026-02-19T07:00:00.000-0600</t>
  </si>
  <si>
    <t>2026-02-20T11:30:00.000-0600</t>
  </si>
  <si>
    <t>2026-02-24T07:00:00.000-0600</t>
  </si>
  <si>
    <t>2026-02-25T07:00:00.000-0600</t>
  </si>
  <si>
    <t>2026-02-27T07:00:00.000-0600</t>
  </si>
  <si>
    <t>2026-03-02T07:30:00.000-0600</t>
  </si>
  <si>
    <t>2026-03-03T07:30:00.000-0600</t>
  </si>
  <si>
    <t>2026-03-05T07:30:00.000-0600</t>
  </si>
  <si>
    <t>2026-03-09T09:00:00.000-0500</t>
  </si>
  <si>
    <t>2026-03-10T07:30:00.000-0500</t>
  </si>
  <si>
    <t>2026-03-12T07:30:00.000-0500</t>
  </si>
  <si>
    <t>2026-03-16T08:30:00.000-0500</t>
  </si>
  <si>
    <t>2026-03-17T07:00:00.000-0500</t>
  </si>
  <si>
    <t>2026-03-17T14:30:00.000-0500</t>
  </si>
  <si>
    <t>2026-03-18T07:30:00.000-0500</t>
  </si>
  <si>
    <t>2026-03-19T07:30:00.000-0500</t>
  </si>
  <si>
    <t>2026-05-21T12:00:00.000-0500</t>
  </si>
  <si>
    <t>2026-06-23T14:00:00.000-0500</t>
  </si>
  <si>
    <t>2026-06-29T15:00:00.000-0500</t>
  </si>
  <si>
    <t>Consolidate input and recommendations that will be shared with developers or end users to make improvements on their end</t>
  </si>
  <si>
    <t>2026-01-05T11:00:00.000-0600</t>
  </si>
  <si>
    <t>2026-01-16T14:00:00.000-0600</t>
  </si>
  <si>
    <t>WMEPO-31153</t>
  </si>
  <si>
    <t>External Meetings</t>
  </si>
  <si>
    <t>2026-02-17T17:30:00.000-0600</t>
  </si>
  <si>
    <t>2026-02-20T14:00:00.000-0600</t>
  </si>
  <si>
    <t>2026-02-25T14:00:00.000-0600</t>
  </si>
  <si>
    <t>2026-02-26T13:30:00.000-0600</t>
  </si>
  <si>
    <t>2026-02-27T12:30:00.000-0600</t>
  </si>
  <si>
    <t>2026-03-12T13:30:00.000-0500</t>
  </si>
  <si>
    <t>2026-04-01T11:30:00.000-0500</t>
  </si>
  <si>
    <t>2026-04-09T13:30:00.000-0500</t>
  </si>
  <si>
    <t>2026-04-17T14:30:00.000-0500</t>
  </si>
  <si>
    <t>2026-04-23T13:30:00.000-0500</t>
  </si>
  <si>
    <t>WMEPO-31152</t>
  </si>
  <si>
    <t>Internal Meetings</t>
  </si>
  <si>
    <t>2026-01-21T13:00:00.000-0600</t>
  </si>
  <si>
    <t>2026-01-26T10:00:00.000-0600</t>
  </si>
  <si>
    <t>2026-03-02T15:30:00.000-0600</t>
  </si>
  <si>
    <t>2026-03-03T10:00:00.000-0600</t>
  </si>
  <si>
    <t>2026-03-09T08:30:00.000-0500</t>
  </si>
  <si>
    <t>2026-03-13T15:00:00.000-0500</t>
  </si>
  <si>
    <t>2026-03-17T11:00:00.000-0500</t>
  </si>
  <si>
    <t>2026-03-17T15:30:00.000-0500</t>
  </si>
  <si>
    <t>2026-03-18T10:30:00.000-0500</t>
  </si>
  <si>
    <t>2026-03-18T15:30:00.000-0500</t>
  </si>
  <si>
    <t>2026-03-23T09:30:00.000-0500</t>
  </si>
  <si>
    <t>2026-03-25T09:30:00.000-0500</t>
  </si>
  <si>
    <t>2026-03-30T09:30:00.000-0500</t>
  </si>
  <si>
    <t>2026-04-06T09:30:00.000-0500</t>
  </si>
  <si>
    <t>2026-04-08T12:30:00.000-0500</t>
  </si>
  <si>
    <t>2026-04-13T09:30:00.000-0500</t>
  </si>
  <si>
    <t>2026-04-15T09:30:00.000-0500</t>
  </si>
  <si>
    <t>2026-04-16T08:00:00.000-0500</t>
  </si>
  <si>
    <t>2026-04-20T09:30:00.000-0500</t>
  </si>
  <si>
    <t>2026-04-22T09:30:00.000-0500</t>
  </si>
  <si>
    <t>Move large reports (those that take multiple hours) that refresh only once per day out of the prime refresh window (2-9 AM CT)</t>
  </si>
  <si>
    <t>2026-01-05T09:30:00.000-0600</t>
  </si>
  <si>
    <t>2026-01-06T11:30:00.000-0600</t>
  </si>
  <si>
    <t>2026-01-09T09:00:00.000-0600</t>
  </si>
  <si>
    <t>2026-01-14T13:00:00.000-0600</t>
  </si>
  <si>
    <t>2026-01-14T15:00:00.000-0600</t>
  </si>
  <si>
    <t>2026-01-27T16:30:00.000-0600</t>
  </si>
  <si>
    <t>2026-01-30T13:00:00.000-0600</t>
  </si>
  <si>
    <t>2026-02-11T07:00:00.000-0600</t>
  </si>
  <si>
    <t>2026-02-13T07:00:00.000-0600</t>
  </si>
  <si>
    <t>2026-02-16T07:00:00.000-0600</t>
  </si>
  <si>
    <t>2026-02-24T12:00:00.000-0600</t>
  </si>
  <si>
    <t>WMEPO-3529</t>
  </si>
  <si>
    <t>Monitoring/Acknowledging Jiras</t>
  </si>
  <si>
    <t>2026-04-16T12:00:00.000-0500</t>
  </si>
  <si>
    <t>2026-05-05T09:00:00.000-0500</t>
  </si>
  <si>
    <t>2026-04-29T09:30:00.000-0500</t>
  </si>
  <si>
    <t>2026-05-06T09:30:00.000-0500</t>
  </si>
  <si>
    <t>MP-1113</t>
  </si>
  <si>
    <t>RCA on 'data' issues</t>
  </si>
  <si>
    <t>2026-06-03T12:30:00.000-0500</t>
  </si>
  <si>
    <t>2026-05-29T14:30:00.000-0500</t>
  </si>
  <si>
    <t>2026-06-01T11:15:00.000-0500</t>
  </si>
  <si>
    <t>2026-06-03T10:00:00.000-0500</t>
  </si>
  <si>
    <t>2026-06-23T16:00:00.000-0500</t>
  </si>
  <si>
    <t>MP-736</t>
  </si>
  <si>
    <t>Finalize creation and testing of each service account with key pair credentials</t>
  </si>
  <si>
    <t>2026-04-16T14:30:00.000-0500</t>
  </si>
  <si>
    <t>2026-04-20T10:00:00.000-0500</t>
  </si>
  <si>
    <t>2026-04-21T11:30:00.000-0500</t>
  </si>
  <si>
    <t>2026-04-22T12:30:00.000-0500</t>
  </si>
  <si>
    <t>2026-04-23T09:15:00.000-0500</t>
  </si>
  <si>
    <t>MP-735</t>
  </si>
  <si>
    <t>Create documentation on key pair process</t>
  </si>
  <si>
    <t>2026-04-17T08:00:00.000-0500</t>
  </si>
  <si>
    <t>MP-595</t>
  </si>
  <si>
    <t>tbl_master - planning, coding, conversion</t>
  </si>
  <si>
    <t>2026-03-09T10:00:00.000-0500</t>
  </si>
  <si>
    <t>2026-03-10T11:00:00.000-0500</t>
  </si>
  <si>
    <t>2026-03-10T12:30:00.000-0500</t>
  </si>
  <si>
    <t>2026-03-11T09:30:00.000-0500</t>
  </si>
  <si>
    <t>2026-03-11T21:30:00.000-0500</t>
  </si>
  <si>
    <t>2026-03-13T11:00:00.000-0500</t>
  </si>
  <si>
    <t>2026-03-16T10:00:00.000-0500</t>
  </si>
  <si>
    <t>2026-03-16T11:00:00.000-0500</t>
  </si>
  <si>
    <t>2026-03-16T23:30:00.000-0500</t>
  </si>
  <si>
    <t>2026-03-17T07:30:00.000-0500</t>
  </si>
  <si>
    <t>2026-03-17T09:30:00.000-0500</t>
  </si>
  <si>
    <t>2026-03-19T08:00:00.000-0500</t>
  </si>
  <si>
    <t>2026-03-19T09:00:00.000-0500</t>
  </si>
  <si>
    <t>2026-03-19T12:00:00.000-0500</t>
  </si>
  <si>
    <t>2026-03-19T16:30:00.000-0500</t>
  </si>
  <si>
    <t>2026-03-20T07:45:00.000-0500</t>
  </si>
  <si>
    <t>2026-03-20T09:30:00.000-0500</t>
  </si>
  <si>
    <t>2h 45m</t>
  </si>
  <si>
    <t>2026-03-20T13:15:00.000-0500</t>
  </si>
  <si>
    <t>2026-03-23T09:00:00.000-0500</t>
  </si>
  <si>
    <t>2026-03-23T14:00:00.000-0500</t>
  </si>
  <si>
    <t>2026-03-23T22:00:00.000-0500</t>
  </si>
  <si>
    <t>2026-03-24T09:00:00.000-0500</t>
  </si>
  <si>
    <t>2026-03-26T09:00:00.000-0500</t>
  </si>
  <si>
    <t>2026-03-30T09:00:00.000-0500</t>
  </si>
  <si>
    <t>2026-03-31T09:00:00.000-0500</t>
  </si>
  <si>
    <t>2026-04-14T17:00:00.000-0500</t>
  </si>
  <si>
    <t>MP-235</t>
  </si>
  <si>
    <t>Tableau -- Penskelogistics --  Issue with 'Dashboard 830 Cube by Route' workbook</t>
  </si>
  <si>
    <t>2026-02-03T09:30:00.000-0600</t>
  </si>
  <si>
    <t>MP-198</t>
  </si>
  <si>
    <t>MEXICO</t>
  </si>
  <si>
    <t>2026-02-03T12:30:00.000-0600</t>
  </si>
  <si>
    <t>2026-02-03T16:00:00.000-0600</t>
  </si>
  <si>
    <t>2026-02-04T12:30:00.000-0600</t>
  </si>
  <si>
    <t>MP-194</t>
  </si>
  <si>
    <t>Planning/Architecture</t>
  </si>
  <si>
    <t>2026-01-26T14:00:00.000-0600</t>
  </si>
  <si>
    <t>2026-01-27T11:00:00.000-0600</t>
  </si>
  <si>
    <t>2026-01-28T10:00:00.000-0600</t>
  </si>
  <si>
    <t>2026-02-03T10:30:00.000-0600</t>
  </si>
  <si>
    <t>2026-02-04T10:30:00.000-0600</t>
  </si>
  <si>
    <t>2026-02-04T15:00:00.000-0600</t>
  </si>
  <si>
    <t>2026-02-16T17:00:00.000-0600</t>
  </si>
  <si>
    <t>MP-193</t>
  </si>
  <si>
    <t>Tableau Service Account Planning and Configuration</t>
  </si>
  <si>
    <t>2026-02-02T13:00:00.000-0600</t>
  </si>
  <si>
    <t>2026-02-06T08:00:00.000-0600</t>
  </si>
  <si>
    <t>2026-02-10T16:45:00.000-0600</t>
  </si>
  <si>
    <t>2026-02-12T14:30:00.000-0600</t>
  </si>
  <si>
    <t>MP-187</t>
  </si>
  <si>
    <t>Tableau -- Penskelogistics -- Check Call Metrics</t>
  </si>
  <si>
    <t>2026-01-27T08:00:00.000-0600</t>
  </si>
  <si>
    <t>2026-01-13T17:00:00.000-0600</t>
  </si>
  <si>
    <t>2026-01-14T07:30:00.000-0600</t>
  </si>
  <si>
    <t>2026-01-14T14:00:00.000-0600</t>
  </si>
  <si>
    <t>2026-01-14T17:00:00.000-0600</t>
  </si>
  <si>
    <t>2026-01-15T07:30:00.000-0600</t>
  </si>
  <si>
    <t>2026-01-15T14:30:00.000-0600</t>
  </si>
  <si>
    <t>2026-01-15T22:00:00.000-0600</t>
  </si>
  <si>
    <t>2026-01-16T07:30:00.000-0600</t>
  </si>
  <si>
    <t>2026-01-16T13:30:00.000-0600</t>
  </si>
  <si>
    <t>2026-01-16T15:15:00.000-0600</t>
  </si>
  <si>
    <t>2026-01-20T07:30:00.000-0600</t>
  </si>
  <si>
    <t>2026-01-20T19:00:00.000-0600</t>
  </si>
  <si>
    <t>2026-01-21T16:00:00.000-0600</t>
  </si>
  <si>
    <t>2026-01-22T16:00:00.000-0600</t>
  </si>
  <si>
    <t>2026-01-23T15:00:00.000-0600</t>
  </si>
  <si>
    <t>2026-01-26T11:30:00.000-0600</t>
  </si>
  <si>
    <t>2026-01-27T12:30:00.000-0600</t>
  </si>
  <si>
    <t>2026-01-28T12:45:00.000-0600</t>
  </si>
  <si>
    <t>2026-02-02T09:30:00.000-0600</t>
  </si>
  <si>
    <t>2026-02-05T09:30:00.000-0600</t>
  </si>
  <si>
    <t>2026-02-06T09:30:00.000-0600</t>
  </si>
  <si>
    <t>2026-02-09T09:00:00.000-0600</t>
  </si>
  <si>
    <t>2026-02-09T17:00:00.000-0600</t>
  </si>
  <si>
    <t>2026-02-10T09:00:00.000-0600</t>
  </si>
  <si>
    <t>2026-02-11T09:00:00.000-0600</t>
  </si>
  <si>
    <t>2026-02-11T10:00:00.000-0600</t>
  </si>
  <si>
    <t>2026-02-12T09:00:00.000-0600</t>
  </si>
  <si>
    <t>2026-02-13T09:00:00.000-0600</t>
  </si>
  <si>
    <t>2026-02-13T15:00:00.000-0600</t>
  </si>
  <si>
    <t>2026-02-16T09:00:00.000-0600</t>
  </si>
  <si>
    <t>2026-02-17T09:00:00.000-0600</t>
  </si>
  <si>
    <t>2026-02-17T13:00:00.000-0600</t>
  </si>
  <si>
    <t>2026-02-18T09:30:00.000-0600</t>
  </si>
  <si>
    <t>2026-02-18T18:00:00.000-0600</t>
  </si>
  <si>
    <t>2026-02-19T09:00:00.000-0600</t>
  </si>
  <si>
    <t>150m</t>
  </si>
  <si>
    <t>2026-02-19T10:30:00.000-0600</t>
  </si>
  <si>
    <t>2026-02-20T09:00:00.000-0600</t>
  </si>
  <si>
    <t>2026-02-23T09:00:00.000-0600</t>
  </si>
  <si>
    <t>2026-02-23T22:45:00.000-0600</t>
  </si>
  <si>
    <t>2026-02-24T09:30:00.000-0600</t>
  </si>
  <si>
    <t>2026-02-27T09:00:00.000-0600</t>
  </si>
  <si>
    <t>2026-02-27T11:00:00.000-0600</t>
  </si>
  <si>
    <t>2026-02-27T13:00:00.000-0600</t>
  </si>
  <si>
    <t>2026-02-27T14:30:00.000-0600</t>
  </si>
  <si>
    <t>2026-02-27T16:15:00.000-0600</t>
  </si>
  <si>
    <t>2026-03-02T08:30:00.000-0600</t>
  </si>
  <si>
    <t>2026-03-02T09:30:00.000-0600</t>
  </si>
  <si>
    <t>2026-03-03T09:30:00.000-0600</t>
  </si>
  <si>
    <t>2026-03-04T09:00:00.000-0600</t>
  </si>
  <si>
    <t>2026-03-05T09:00:00.000-0600</t>
  </si>
  <si>
    <t>2026-03-23T11:30:00.000-0500</t>
  </si>
  <si>
    <t>2026-03-25T12:30:00.000-0500</t>
  </si>
  <si>
    <t>2026-03-31T18:30:00.000-0500</t>
  </si>
  <si>
    <t>2026-04-01T09:30:00.000-0500</t>
  </si>
  <si>
    <t>2026-04-01T12:00:00.000-0500</t>
  </si>
  <si>
    <t>2026-04-01T13:30:00.000-0500</t>
  </si>
  <si>
    <t>2026-04-01T15:00:00.000-0500</t>
  </si>
  <si>
    <t>2026-04-21T22:30:00.000-0500</t>
  </si>
  <si>
    <t>2026-04-22T07:15:00.000-0500</t>
  </si>
  <si>
    <t>P3</t>
  </si>
  <si>
    <t>2026-04-22T10:30:00.000-0500</t>
  </si>
  <si>
    <t>2026-05-01T07:30:00.000-0500</t>
  </si>
  <si>
    <t>2026-05-01T09:00:00.000-0500</t>
  </si>
  <si>
    <t>2026-05-01T09:30:00.000-0500</t>
  </si>
  <si>
    <t>3h</t>
  </si>
  <si>
    <t>2026-05-01T11:30:00.000-0500</t>
  </si>
  <si>
    <t>2026-05-05T08:00:00.000-0500</t>
  </si>
  <si>
    <t>2026-05-06T08:00:00.000-0500</t>
  </si>
  <si>
    <t>2026-05-06T13:00:00.000-0500</t>
  </si>
  <si>
    <t>2026-05-07T08:00:00.000-0500</t>
  </si>
  <si>
    <t>2026-05-08T08:00:00.000-0500</t>
  </si>
  <si>
    <t>2026-05-11T11:45:00.000-0500</t>
  </si>
  <si>
    <t>2026-05-12T15:00:00.000-0500</t>
  </si>
  <si>
    <t>2026-05-13T11:00:00.000-0500</t>
  </si>
  <si>
    <t>2026-05-15T13:30:00.000-0500</t>
  </si>
  <si>
    <t>2026-05-18T10:00:00.000-0500</t>
  </si>
  <si>
    <t>2026-05-18T13:30:00.000-0500</t>
  </si>
  <si>
    <t>2026-05-19T16:15:00.000-0500</t>
  </si>
  <si>
    <t>2026-05-21T09:00:00.000-0500</t>
  </si>
  <si>
    <t>2026-05-21T14:00:00.000-0500</t>
  </si>
  <si>
    <t>2026-05-22T15:00:00.000-0500</t>
  </si>
  <si>
    <t>2026-06-01T12:00:00.000-0500</t>
  </si>
  <si>
    <t>2026-06-01T14:30:00.000-0500</t>
  </si>
  <si>
    <t>2026-06-02T12:00:00.000-0500</t>
  </si>
  <si>
    <t>2026-06-04T08:00:00.000-0500</t>
  </si>
  <si>
    <t>P4</t>
  </si>
  <si>
    <t>2026-06-04T10:00:00.000-0500</t>
  </si>
  <si>
    <t>2026-06-04T13:00:00.000-0500</t>
  </si>
  <si>
    <t>2026-06-05T08:00:00.000-0500</t>
  </si>
  <si>
    <t>2026-06-05T11:00:00.000-0500</t>
  </si>
  <si>
    <t>2026-06-05T14:00:00.000-0500</t>
  </si>
  <si>
    <t>2026-06-05T16:00:00.000-0500</t>
  </si>
  <si>
    <t>2026-06-09T11:00:00.000-0500</t>
  </si>
  <si>
    <t>P1</t>
  </si>
  <si>
    <t>2026-06-10T11:00:00.000-0500</t>
  </si>
  <si>
    <t>2026-06-11T10:00:00.000-0500</t>
  </si>
  <si>
    <t>2026-06-11T11:00:00.000-0500</t>
  </si>
  <si>
    <t>2026-06-12T08:15:00.000-0500</t>
  </si>
  <si>
    <t>2026-06-12T09:30:00.000-0500</t>
  </si>
  <si>
    <t>2026-06-12T10:30:00.000-0500</t>
  </si>
  <si>
    <t>2026-06-22T09:00:00.000-0500</t>
  </si>
  <si>
    <t>2026-06-23T17:00:00.000-0500</t>
  </si>
  <si>
    <t>2026-06-24T15:00:00.000-0500</t>
  </si>
  <si>
    <t>2026-06-25T09:00:00.000-0500</t>
  </si>
  <si>
    <t>2026-06-26T15:00:00.000-0500</t>
  </si>
  <si>
    <t>2026-06-29T08:30:00.000-0500</t>
  </si>
  <si>
    <t>2026-06-29T12:30:00.000-0500</t>
  </si>
  <si>
    <t>2026-06-30T08:45:00.000-0500</t>
  </si>
  <si>
    <t>2026-06-30T18:30:00.000-0500</t>
  </si>
  <si>
    <t>2026-07-01T13:00:00.000-0500</t>
  </si>
  <si>
    <t>2026-07-02T07:30:00.000-0500</t>
  </si>
  <si>
    <t>2026-07-02T10:30:00.000-0500</t>
  </si>
  <si>
    <t>2026-07-02T14:30:00.000-0500</t>
  </si>
  <si>
    <t>5h 30m</t>
  </si>
  <si>
    <t>2026-07-06T13:00:00.000-0500</t>
  </si>
  <si>
    <t>2026-07-06T20:00:00.000-0500</t>
  </si>
  <si>
    <t>2026-07-07T08:00:00.000-0500</t>
  </si>
  <si>
    <t>2026-07-07T10:00:00.000-0500</t>
  </si>
  <si>
    <t>2026-07-07T14:00:00.000-0500</t>
  </si>
  <si>
    <t>2026-07-08T08:00:00.000-0500</t>
  </si>
  <si>
    <t>2026-07-08T09:30:00.000-0500</t>
  </si>
  <si>
    <t>2026-07-08T12:30:00.000-0500</t>
  </si>
  <si>
    <t>2026-07-09T09:30:00.000-0500</t>
  </si>
  <si>
    <t>2026-07-09T11:30:00.000-0500</t>
  </si>
  <si>
    <t>2026-07-09T14:00:00.000-0500</t>
  </si>
  <si>
    <t>2026-07-09T18:30:00.000-0500</t>
  </si>
  <si>
    <t>2026-07-10T09:00:00.000-0500</t>
  </si>
  <si>
    <t>2026-07-10T16:00:00.000-0500</t>
  </si>
  <si>
    <t>2026-07-13T10:00:00.000-0500</t>
  </si>
  <si>
    <t>2026-07-14T15:30:00.000-0500</t>
  </si>
  <si>
    <t>2026-07-16T08:00:00.000-0500</t>
  </si>
  <si>
    <t>2026-07-21T13:00:00.000-0500</t>
  </si>
  <si>
    <t>2026-07-21T18:00:00.000-0500</t>
  </si>
  <si>
    <t>2026-07-21T21:00:00.000-0500</t>
  </si>
  <si>
    <t>2026-07-22T14:00:00.000-0500</t>
  </si>
  <si>
    <t>2026-07-22T15:00:00.000-0500</t>
  </si>
  <si>
    <t>2026-07-23T13:00:00.000-0500</t>
  </si>
  <si>
    <t>2026-07-27T13:00:00.000-0500</t>
  </si>
  <si>
    <t>2026-01-05T08:30:00.000-0600</t>
  </si>
  <si>
    <t>2026-01-06T14:00:00.000-0600</t>
  </si>
  <si>
    <t>2026-01-06T16:30:00.000-0600</t>
  </si>
  <si>
    <t>2026-01-07T16:00:00.000-0600</t>
  </si>
  <si>
    <t>2026-01-09T13:30:00.000-0600</t>
  </si>
  <si>
    <t>2026-01-12T10:30:00.000-0600</t>
  </si>
  <si>
    <t>2026-01-13T07:30:00.000-0600</t>
  </si>
  <si>
    <t>2026-01-14T10:30:00.000-0600</t>
  </si>
  <si>
    <t>2026-01-20T09:30:00.000-0600</t>
  </si>
  <si>
    <t>2026-01-22T10:30:00.000-0600</t>
  </si>
  <si>
    <t>2026-01-23T15:30:00.000-0600</t>
  </si>
  <si>
    <t>2026-01-28T09:30:00.000-0600</t>
  </si>
  <si>
    <t>2026-01-29T09:15:00.000-0600</t>
  </si>
  <si>
    <t>2026-02-02T08:30:00.000-0600</t>
  </si>
  <si>
    <t>2026-02-05T09:15:00.000-0600</t>
  </si>
  <si>
    <t>2026-02-12T10:30:00.000-0600</t>
  </si>
  <si>
    <t>2026-04-30T14:30:00.000-0500</t>
  </si>
  <si>
    <t>2026-05-14T20:30:00.000-0500</t>
  </si>
  <si>
    <t>2026-05-27T15:00:00.000-0500</t>
  </si>
  <si>
    <t>2026-05-28T15:30:00.000-0500</t>
  </si>
  <si>
    <t>2026-05-29T08:30:00.000-0500</t>
  </si>
  <si>
    <t>2026-06-11T14:30:00.000-0500</t>
  </si>
  <si>
    <t>2026-01-14T08:45:00.000-0600</t>
  </si>
  <si>
    <t>2026-01-15T21:00:00.000-0600</t>
  </si>
  <si>
    <t>2026-01-21T08:00:00.000-0600</t>
  </si>
  <si>
    <t>2026-01-23T09:30:00.000-0600</t>
  </si>
  <si>
    <t>2026-01-23T13:30:00.000-0600</t>
  </si>
  <si>
    <t>2026-01-26T13:30:00.000-0600</t>
  </si>
  <si>
    <t>2026-01-27T08:30:00.000-0600</t>
  </si>
  <si>
    <t>2026-01-28T07:00:00.000-0600</t>
  </si>
  <si>
    <t>2026-01-28T13:30:00.000-0600</t>
  </si>
  <si>
    <t>2026-01-29T09:30:00.000-0600</t>
  </si>
  <si>
    <t>2026-01-30T07:30:00.000-0600</t>
  </si>
  <si>
    <t>2026-01-30T09:30:00.000-0600</t>
  </si>
  <si>
    <t>2026-02-03T08:30:00.000-0600</t>
  </si>
  <si>
    <t>2026-02-03T11:30:00.000-0600</t>
  </si>
  <si>
    <t>2026-02-04T08:00:00.000-0600</t>
  </si>
  <si>
    <t>2026-02-05T08:00:00.000-0600</t>
  </si>
  <si>
    <t>2026-02-06T21:00:00.000-0600</t>
  </si>
  <si>
    <t>2026-02-09T07:00:00.000-0600</t>
  </si>
  <si>
    <t>2026-02-10T07:00:00.000-0600</t>
  </si>
  <si>
    <t>2026-02-10T18:30:00.000-0600</t>
  </si>
  <si>
    <t>2026-02-11T07:30:00.000-0600</t>
  </si>
  <si>
    <t>2026-02-11T18:00:00.000-0600</t>
  </si>
  <si>
    <t>2026-02-13T08:00:00.000-0600</t>
  </si>
  <si>
    <t>2026-02-18T08:00:00.000-0600</t>
  </si>
  <si>
    <t>2026-02-19T08:00:00.000-0600</t>
  </si>
  <si>
    <t>2026-02-26T07:00:00.000-0600</t>
  </si>
  <si>
    <t>2026-03-04T07:30:00.000-0600</t>
  </si>
  <si>
    <t>2026-03-11T07:00:00.000-0500</t>
  </si>
  <si>
    <t>2026-03-12T11:00:00.000-0500</t>
  </si>
  <si>
    <t>2026-03-12T21:00:00.000-0500</t>
  </si>
  <si>
    <t>2026-03-18T08:00:00.000-0500</t>
  </si>
  <si>
    <t>2026-03-25T07:30:00.000-0500</t>
  </si>
  <si>
    <t>2026-03-26T23:30:00.000-0500</t>
  </si>
  <si>
    <t>2026-04-01T08:30:00.000-0500</t>
  </si>
  <si>
    <t>2026-04-02T12:00:00.000-0500</t>
  </si>
  <si>
    <t>2026-04-02T14:30:00.000-0500</t>
  </si>
  <si>
    <t>2026-04-03T08:00:00.000-0500</t>
  </si>
  <si>
    <t>2026-04-08T07:00:00.000-0500</t>
  </si>
  <si>
    <t>2026-04-13T08:00:00.000-0500</t>
  </si>
  <si>
    <t>2026-04-15T08:00:00.000-0500</t>
  </si>
  <si>
    <t>2026-04-28T08:30:00.000-0500</t>
  </si>
  <si>
    <t>2026-04-29T08:00:00.000-0500</t>
  </si>
  <si>
    <t>2026-05-04T09:00:00.000-0500</t>
  </si>
  <si>
    <t>2026-05-05T10:30:00.000-0500</t>
  </si>
  <si>
    <t>2026-05-13T09:30:00.000-0500</t>
  </si>
  <si>
    <t>2026-05-14T09:00:00.000-0500</t>
  </si>
  <si>
    <t>2026-05-20T07:30:00.000-0500</t>
  </si>
  <si>
    <t>2026-05-21T07:30:00.000-0500</t>
  </si>
  <si>
    <t>2026-05-22T07:30:00.000-0500</t>
  </si>
  <si>
    <t>2026-05-28T14:00:00.000-0500</t>
  </si>
  <si>
    <t>2026-05-28T22:00:00.000-0500</t>
  </si>
  <si>
    <t>2026-05-29T09:00:00.000-0500</t>
  </si>
  <si>
    <t>2026-06-03T08:30:00.000-0500</t>
  </si>
  <si>
    <t>2026-06-10T08:30:00.000-0500</t>
  </si>
  <si>
    <t>2026-06-25T08:00:00.000-0500</t>
  </si>
  <si>
    <t>2026-06-26T06:30:00.000-0500</t>
  </si>
  <si>
    <t>2026-07-01T08:30:00.000-0500</t>
  </si>
  <si>
    <t>2026-07-01T10:30:00.000-0500</t>
  </si>
  <si>
    <t>2026-07-08T08:30:00.000-0500</t>
  </si>
  <si>
    <t>2026-07-10T08:00:00.000-0500</t>
  </si>
  <si>
    <t>2026-07-15T08:30:00.000-0500</t>
  </si>
  <si>
    <t>2026-01-07T14:00:00.000-0600</t>
  </si>
  <si>
    <t>2026-08-04T12:30:00.000-0500</t>
  </si>
  <si>
    <t>2026-08-05T09:30:00.000-0500</t>
  </si>
  <si>
    <t>2026-08-05T11:00:00.000-0500</t>
  </si>
  <si>
    <t>2026-08-07T15:30:00.000-0500</t>
  </si>
  <si>
    <t>2026-01-05T12:00:00.000-0600</t>
  </si>
  <si>
    <t>2026-01-06T07:30:00.000-0600</t>
  </si>
  <si>
    <t>2026-01-07T08:00:00.000-0600</t>
  </si>
  <si>
    <t>2026-01-07T10:00:00.000-0600</t>
  </si>
  <si>
    <t>2026-01-16T17:30:00.000-0600</t>
  </si>
  <si>
    <t>2026-01-20T14:30:00.000-0600</t>
  </si>
  <si>
    <t>2026-07-31T11:00:00.000-0500</t>
  </si>
  <si>
    <t>Tableau Operations</t>
  </si>
  <si>
    <t>2026-01-09T11:00:00.000-0600</t>
  </si>
  <si>
    <t>2026-01-12T16:30:00.000-0600</t>
  </si>
  <si>
    <t>2026-02-06T14:30:00.000-0600</t>
  </si>
  <si>
    <t>2026-01-08T09:00:00.000-0600</t>
  </si>
  <si>
    <t>2026-01-08T11:00:00.000-0600</t>
  </si>
  <si>
    <t>2026-01-08T17:00:00.000-0600</t>
  </si>
  <si>
    <t>2026-01-09T10:00:00.000-0600</t>
  </si>
  <si>
    <t>2026-01-09T15:00:00.000-0600</t>
  </si>
  <si>
    <t>2026-01-12T13:00:00.000-0600</t>
  </si>
  <si>
    <t>2026-01-14T09:30:00.000-0600</t>
  </si>
  <si>
    <t>2026-01-22T09:30:00.000-0600</t>
  </si>
  <si>
    <t>2026-01-23T16:00:00.000-0600</t>
  </si>
  <si>
    <t>2026-01-28T13:00:00.000-0600</t>
  </si>
  <si>
    <t>2026-01-30T12:00:00.000-0600</t>
  </si>
  <si>
    <t>2026-02-02T07:30:00.000-0600</t>
  </si>
  <si>
    <t>2026-02-20T09:30:00.000-0600</t>
  </si>
  <si>
    <t>2026-02-23T12:00:00.000-0600</t>
  </si>
  <si>
    <t>2026-02-23T14:30:00.000-0600</t>
  </si>
  <si>
    <t>2026-03-03T14:30:00.000-0600</t>
  </si>
  <si>
    <t>2026-04-09T13:45:00.000-0500</t>
  </si>
  <si>
    <t>2026-05-22T09:00:00.000-0500</t>
  </si>
  <si>
    <t>2026-05-27T11:00:00.000-0500</t>
  </si>
  <si>
    <t>2026-07-08T10:00:00.000-0500</t>
  </si>
  <si>
    <t>2026-07-16T14:00:00.000-0500</t>
  </si>
  <si>
    <t>2026-07-21T12:30:00.000-0500</t>
  </si>
  <si>
    <t>2026-08-03T13:30:00.000-0500</t>
  </si>
  <si>
    <t>2026-08-06T09:30:00.000-0500</t>
  </si>
  <si>
    <t>2026-01-07T09:00:00.000-0600</t>
  </si>
  <si>
    <t>2026-01-08T10:00:00.000-0600</t>
  </si>
  <si>
    <t>2026-01-08T15:30:00.000-0600</t>
  </si>
  <si>
    <t>2026-01-14T09:00:00.000-0600</t>
  </si>
  <si>
    <t>2026-01-20T09:00:00.000-0600</t>
  </si>
  <si>
    <t>2026-01-21T09:00:00.000-0600</t>
  </si>
  <si>
    <t>2026-01-22T09:00:00.000-0600</t>
  </si>
  <si>
    <t>2026-01-22T10:00:00.000-0600</t>
  </si>
  <si>
    <t>2026-01-22T15:30:00.000-0600</t>
  </si>
  <si>
    <t>2026-01-23T09:00:00.000-0600</t>
  </si>
  <si>
    <t>2026-01-23T14:00:00.000-0600</t>
  </si>
  <si>
    <t>2026-01-26T09:00:00.000-0600</t>
  </si>
  <si>
    <t>2026-01-27T09:00:00.000-0600</t>
  </si>
  <si>
    <t>2026-01-28T09:00:00.000-0600</t>
  </si>
  <si>
    <t>2026-01-29T09:00:00.000-0600</t>
  </si>
  <si>
    <t>2026-01-29T10:00:00.000-0600</t>
  </si>
  <si>
    <t>2026-01-30T08:30:00.000-0600</t>
  </si>
  <si>
    <t>2026-01-30T09:00:00.000-0600</t>
  </si>
  <si>
    <t>2026-02-02T09:00:00.000-0600</t>
  </si>
  <si>
    <t>2026-02-03T09:00:00.000-0600</t>
  </si>
  <si>
    <t>2026-02-03T13:00:00.000-0600</t>
  </si>
  <si>
    <t>2026-02-04T10:00:00.000-0600</t>
  </si>
  <si>
    <t>2026-02-04T13:00:00.000-0600</t>
  </si>
  <si>
    <t>2026-02-05T09:00:00.000-0600</t>
  </si>
  <si>
    <t>2026-02-05T10:00:00.000-0600</t>
  </si>
  <si>
    <t>2026-02-05T15:30:00.000-0600</t>
  </si>
  <si>
    <t>2026-02-06T09:00:00.000-0600</t>
  </si>
  <si>
    <t>2026-02-10T13:00:00.000-0600</t>
  </si>
  <si>
    <t>2026-02-12T10:00:00.000-0600</t>
  </si>
  <si>
    <t>2026-02-13T08:30:00.000-0600</t>
  </si>
  <si>
    <t>2026-02-18T09:00:00.000-0600</t>
  </si>
  <si>
    <t>2026-02-19T10:00:00.000-0600</t>
  </si>
  <si>
    <t>2026-02-19T15:30:00.000-0600</t>
  </si>
  <si>
    <t>2026-02-23T08:30:00.000-0600</t>
  </si>
  <si>
    <t>2026-02-24T09:00:00.000-0600</t>
  </si>
  <si>
    <t>2026-02-26T09:00:00.000-0600</t>
  </si>
  <si>
    <t>2026-02-26T09:30:00.000-0600</t>
  </si>
  <si>
    <t>2026-02-26T10:00:00.000-0600</t>
  </si>
  <si>
    <t>2026-02-27T08:30:00.000-0600</t>
  </si>
  <si>
    <t>2026-03-03T14:00:00.000-0600</t>
  </si>
  <si>
    <t>2026-03-05T10:00:00.000-0600</t>
  </si>
  <si>
    <t>2026-03-05T12:00:00.000-0600</t>
  </si>
  <si>
    <t>2026-03-10T10:30:00.000-0500</t>
  </si>
  <si>
    <t>2026-03-11T09:00:00.000-0500</t>
  </si>
  <si>
    <t>2026-03-13T08:30:00.000-0500</t>
  </si>
  <si>
    <t>2026-03-18T09:00:00.000-0500</t>
  </si>
  <si>
    <t>2026-03-19T10:00:00.000-0500</t>
  </si>
  <si>
    <t>2026-03-24T14:30:00.000-0500</t>
  </si>
  <si>
    <t>2026-03-25T09:00:00.000-0500</t>
  </si>
  <si>
    <t>2026-04-01T09:00:00.000-0500</t>
  </si>
  <si>
    <t>2026-04-08T09:00:00.000-0500</t>
  </si>
  <si>
    <t>2026-04-15T09:00:00.000-0500</t>
  </si>
  <si>
    <t>2026-04-15T13:00:00.000-0500</t>
  </si>
  <si>
    <t>2026-04-17T08:30:00.000-0500</t>
  </si>
  <si>
    <t>2026-04-20T11:00:00.000-0500</t>
  </si>
  <si>
    <t>2026-04-22T09:00:00.000-0500</t>
  </si>
  <si>
    <t>2026-04-29T09:00:00.000-0500</t>
  </si>
  <si>
    <t>2026-05-01T08:30:00.000-0500</t>
  </si>
  <si>
    <t>2026-05-06T14:00:00.000-0500</t>
  </si>
  <si>
    <t>2026-05-22T10:00:00.000-0500</t>
  </si>
  <si>
    <t>2026-05-29T09:30:00.000-0500</t>
  </si>
  <si>
    <t>2026-05-29T12:00:00.000-0500</t>
  </si>
  <si>
    <t>2026-06-10T09:00:00.000-0500</t>
  </si>
  <si>
    <t>2026-06-12T09:00:00.000-0500</t>
  </si>
  <si>
    <t>2026-06-12T10:00:00.000-0500</t>
  </si>
  <si>
    <t>2026-06-12T11:00:00.000-0500</t>
  </si>
  <si>
    <t>2026-06-22T11:00:00.000-0500</t>
  </si>
  <si>
    <t>2026-06-23T13:00:00.000-0500</t>
  </si>
  <si>
    <t>2026-06-24T09:00:00.000-0500</t>
  </si>
  <si>
    <t>2026-06-25T11:00:00.000-0500</t>
  </si>
  <si>
    <t>2026-06-26T08:30:00.000-0500</t>
  </si>
  <si>
    <t>2026-07-02T10:00:00.000-0500</t>
  </si>
  <si>
    <t>2026-07-07T13:00:00.000-0500</t>
  </si>
  <si>
    <t>2026-07-08T09:00:00.000-0500</t>
  </si>
  <si>
    <t>2026-07-08T11:30:00.000-0500</t>
  </si>
  <si>
    <t>2026-07-09T11:00:00.000-0500</t>
  </si>
  <si>
    <t>2026-07-10T08:30:00.000-0500</t>
  </si>
  <si>
    <t>2026-07-15T09:00:00.000-0500</t>
  </si>
  <si>
    <t>2026-07-27T13:30:00.000-0500</t>
  </si>
  <si>
    <t>2026-08-06T16:00:00.000-0500</t>
  </si>
  <si>
    <t>2026-01-06T07:00:00.000-0600</t>
  </si>
  <si>
    <t>2026-01-08T15:00:00.000-0600</t>
  </si>
  <si>
    <t>2026-01-13T07:00:00.000-0600</t>
  </si>
  <si>
    <t>2026-01-15T15:00:00.000-0600</t>
  </si>
  <si>
    <t>2026-01-20T07:00:00.000-0600</t>
  </si>
  <si>
    <t>2026-01-21T09:30:00.000-0600</t>
  </si>
  <si>
    <t>2026-01-22T15:00:00.000-0600</t>
  </si>
  <si>
    <t>2026-01-27T07:00:00.000-0600</t>
  </si>
  <si>
    <t>2026-01-29T15:00:00.000-0600</t>
  </si>
  <si>
    <t>2026-01-30T10:30:00.000-0600</t>
  </si>
  <si>
    <t>2026-02-03T07:00:00.000-0600</t>
  </si>
  <si>
    <t>2026-02-03T12:00:00.000-0600</t>
  </si>
  <si>
    <t>2026-02-05T15:00:00.000-0600</t>
  </si>
  <si>
    <t>2026-02-06T07:30:00.000-0600</t>
  </si>
  <si>
    <t>2026-02-10T07:30:00.000-0600</t>
  </si>
  <si>
    <t>2026-02-12T07:00:00.000-0600</t>
  </si>
  <si>
    <t>2026-02-12T15:00:00.000-0600</t>
  </si>
  <si>
    <t>2026-02-19T15:00:00.000-0600</t>
  </si>
  <si>
    <t>2026-02-24T10:00:00.000-0600</t>
  </si>
  <si>
    <t>2026-02-24T13:00:00.000-0600</t>
  </si>
  <si>
    <t>2026-02-26T15:00:00.000-0600</t>
  </si>
  <si>
    <t>2026-03-02T09:00:00.000-0600</t>
  </si>
  <si>
    <t>2026-03-05T15:00:00.000-0600</t>
  </si>
  <si>
    <t>2026-03-09T12:30:00.000-0500</t>
  </si>
  <si>
    <t>2026-03-09T15:00:00.000-0500</t>
  </si>
  <si>
    <t>2026-03-10T10:00:00.000-0500</t>
  </si>
  <si>
    <t>2026-03-12T10:30:00.000-0500</t>
  </si>
  <si>
    <t>2026-03-12T15:00:00.000-0500</t>
  </si>
  <si>
    <t>2026-03-19T15:00:00.000-0500</t>
  </si>
  <si>
    <t>2026-03-31T15:00:00.000-0500</t>
  </si>
  <si>
    <t>2026-04-09T15:00:00.000-0500</t>
  </si>
  <si>
    <t>2026-04-10T13:30:00.000-0500</t>
  </si>
  <si>
    <t>2026-04-13T08:30:00.000-0500</t>
  </si>
  <si>
    <t>2026-04-15T12:30:00.000-0500</t>
  </si>
  <si>
    <t>2026-04-16T09:00:00.000-0500</t>
  </si>
  <si>
    <t>2026-04-16T15:00:00.000-0500</t>
  </si>
  <si>
    <t>2026-04-21T09:30:00.000-0500</t>
  </si>
  <si>
    <t>2026-04-23T12:30:00.000-0500</t>
  </si>
  <si>
    <t>2026-04-23T15:00:00.000-0500</t>
  </si>
  <si>
    <t>2026-04-28T09:30:00.000-0500</t>
  </si>
  <si>
    <t>2026-04-30T15:00:00.000-0500</t>
  </si>
  <si>
    <t>2026-05-05T08:30:00.000-0500</t>
  </si>
  <si>
    <t>2026-05-05T09:30:00.000-0500</t>
  </si>
  <si>
    <t>2026-05-07T15:00:00.000-0500</t>
  </si>
  <si>
    <t>2026-05-12T09:30:00.000-0500</t>
  </si>
  <si>
    <t>2026-05-13T09:00:00.000-0500</t>
  </si>
  <si>
    <t>2026-05-14T15:00:00.000-0500</t>
  </si>
  <si>
    <t>2026-05-15T08:30:00.000-0500</t>
  </si>
  <si>
    <t>2026-05-19T11:00:00.000-0500</t>
  </si>
  <si>
    <t>2026-05-20T09:00:00.000-0500</t>
  </si>
  <si>
    <t>2026-05-21T10:00:00.000-0500</t>
  </si>
  <si>
    <t>2026-05-21T15:00:00.000-0500</t>
  </si>
  <si>
    <t>2026-05-28T11:00:00.000-0500</t>
  </si>
  <si>
    <t>2026-05-28T15:00:00.000-0500</t>
  </si>
  <si>
    <t>2026-05-29T11:00:00.000-0500</t>
  </si>
  <si>
    <t>2026-06-01T11:00:00.000-0500</t>
  </si>
  <si>
    <t>2026-06-02T09:30:00.000-0500</t>
  </si>
  <si>
    <t>2026-06-02T11:00:00.000-0500</t>
  </si>
  <si>
    <t>2026-06-03T09:00:00.000-0500</t>
  </si>
  <si>
    <t>2026-06-04T11:00:00.000-0500</t>
  </si>
  <si>
    <t>2026-06-04T15:00:00.000-0500</t>
  </si>
  <si>
    <t>2026-06-11T15:00:00.000-0500</t>
  </si>
  <si>
    <t>2026-06-12T11:30:00.000-0500</t>
  </si>
  <si>
    <t>2026-06-23T09:30:00.000-0500</t>
  </si>
  <si>
    <t>2026-06-25T16:00:00.000-0500</t>
  </si>
  <si>
    <t>2026-06-30T09:30:00.000-0500</t>
  </si>
  <si>
    <t>2026-07-01T09:00:00.000-0500</t>
  </si>
  <si>
    <t>2026-07-02T14:00:00.000-0500</t>
  </si>
  <si>
    <t>2026-07-07T09:30:00.000-0500</t>
  </si>
  <si>
    <t>2026-07-09T15:00:00.000-0500</t>
  </si>
  <si>
    <t>2026-07-14T09:30:00.000-0500</t>
  </si>
  <si>
    <t>2026-07-16T14:30:00.000-0500</t>
  </si>
  <si>
    <t>2026-07-28T09:30:00.000-0500</t>
  </si>
  <si>
    <t>2026-07-30T10:30:00.000-0500</t>
  </si>
  <si>
    <t>2026-08-04T09:30:00.000-0500</t>
  </si>
  <si>
    <t>2026-08-05T11:30:00.000-0500</t>
  </si>
  <si>
    <t>Project Management (General Tasks)</t>
  </si>
  <si>
    <t>2026-01-08T10:30:00.000-0600</t>
  </si>
  <si>
    <t>MITA-88</t>
  </si>
  <si>
    <t>Schedules for Refreshes</t>
  </si>
  <si>
    <t>2026-05-04T12:30:00.000-0500</t>
  </si>
  <si>
    <t>2026-05-04T14:00:00.000-0500</t>
  </si>
  <si>
    <t>2026-05-05T14:30:00.000-0500</t>
  </si>
  <si>
    <t>MITA-84</t>
  </si>
  <si>
    <t>Autoyaml updates</t>
  </si>
  <si>
    <t>2026-04-24T13:30:00.000-0500</t>
  </si>
  <si>
    <t>2026-04-27T12:30:00.000-0500</t>
  </si>
  <si>
    <t>2026-04-27T15:00:00.000-0500</t>
  </si>
  <si>
    <t>2026-04-28T07:30:00.000-0500</t>
  </si>
  <si>
    <t>2026-04-28T15:00:00.000-0500</t>
  </si>
  <si>
    <t>2026-04-29T12:30:00.000-0500</t>
  </si>
  <si>
    <t>2026-04-30T12:00:00.000-0500</t>
  </si>
  <si>
    <t>2026-05-05T21:00:00.000-0500</t>
  </si>
  <si>
    <t>MITA-81</t>
  </si>
  <si>
    <t>Prod: Store datasource and workbook files to repository</t>
  </si>
  <si>
    <t>2026-04-15T10:00:00.000-0500</t>
  </si>
  <si>
    <t>2026-04-17T09:30:00.000-0500</t>
  </si>
  <si>
    <t>2026-04-20T12:30:00.000-0500</t>
  </si>
  <si>
    <t>2026-04-20T14:00:00.000-0500</t>
  </si>
  <si>
    <t>2026-04-21T07:15:00.000-0500</t>
  </si>
  <si>
    <t>2026-04-21T12:30:00.000-0500</t>
  </si>
  <si>
    <t>MITA-78</t>
  </si>
  <si>
    <t>Prod: Project config files</t>
  </si>
  <si>
    <t>2026-04-01T15:30:00.000-0500</t>
  </si>
  <si>
    <t>2026-04-02T09:00:00.000-0500</t>
  </si>
  <si>
    <t>2026-04-02T15:30:00.000-0500</t>
  </si>
  <si>
    <t>2026-04-03T13:00:00.000-0500</t>
  </si>
  <si>
    <t>2026-04-06T12:00:00.000-0500</t>
  </si>
  <si>
    <t>2026-04-06T22:00:00.000-0500</t>
  </si>
  <si>
    <t>2026-04-07T10:15:00.000-0500</t>
  </si>
  <si>
    <t>2026-04-07T13:00:00.000-0500</t>
  </si>
  <si>
    <t>2026-04-07T14:30:00.000-0500</t>
  </si>
  <si>
    <t>2026-04-07T17:45:00.000-0500</t>
  </si>
  <si>
    <t>2026-04-08T10:00:00.000-0500</t>
  </si>
  <si>
    <t>2026-04-08T13:30:00.000-0500</t>
  </si>
  <si>
    <t>2026-04-08T17:30:00.000-0500</t>
  </si>
  <si>
    <t>2026-04-09T14:30:00.000-0500</t>
  </si>
  <si>
    <t>2026-04-09T18:30:00.000-0500</t>
  </si>
  <si>
    <t>2026-04-10T07:00:00.000-0500</t>
  </si>
  <si>
    <t>2026-04-10T11:30:00.000-0500</t>
  </si>
  <si>
    <t>2026-04-10T17:30:00.000-0500</t>
  </si>
  <si>
    <t>2026-04-13T11:00:00.000-0500</t>
  </si>
  <si>
    <t>2026-04-14T14:00:00.000-0500</t>
  </si>
  <si>
    <t>2026-04-15T15:00:00.000-0500</t>
  </si>
  <si>
    <t>2026-04-16T15:30:00.000-0500</t>
  </si>
  <si>
    <t>2026-04-24T09:00:00.000-0500</t>
  </si>
  <si>
    <t>2026-04-24T16:00:00.000-0500</t>
  </si>
  <si>
    <t>2026-05-01T14:00:00.000-0500</t>
  </si>
  <si>
    <t>2026-05-05T12:00:00.000-0500</t>
  </si>
  <si>
    <t>MITA-75</t>
  </si>
  <si>
    <t>Configure VS Code</t>
  </si>
  <si>
    <t>2026-03-16T12:30:00.000-0500</t>
  </si>
  <si>
    <t>2026-03-16T14:00:00.000-0500</t>
  </si>
  <si>
    <t>2026-03-16T17:00:00.000-0500</t>
  </si>
  <si>
    <t>2026-03-18T09:30:00.000-0500</t>
  </si>
  <si>
    <t>2026-03-19T15:30:00.000-0500</t>
  </si>
  <si>
    <t>2026-03-23T10:30:00.000-0500</t>
  </si>
  <si>
    <t>2026-03-24T10:00:00.000-0500</t>
  </si>
  <si>
    <t>2026-03-25T10:00:00.000-0500</t>
  </si>
  <si>
    <t>2026-03-25T13:00:00.000-0500</t>
  </si>
  <si>
    <t>2026-03-25T16:30:00.000-0500</t>
  </si>
  <si>
    <t>2026-03-26T11:00:00.000-0500</t>
  </si>
  <si>
    <t>2026-03-26T12:00:00.000-0500</t>
  </si>
  <si>
    <t>2026-03-26T22:30:00.000-0500</t>
  </si>
  <si>
    <t>2026-03-27T09:00:00.000-0500</t>
  </si>
  <si>
    <t>2026-03-27T11:00:00.000-0500</t>
  </si>
  <si>
    <t>2026-03-27T16:15:00.000-0500</t>
  </si>
  <si>
    <t>2026-03-27T21:00:00.000-0500</t>
  </si>
  <si>
    <t>2026-03-30T10:00:00.000-0500</t>
  </si>
  <si>
    <t>2026-03-31T11:30:00.000-0500</t>
  </si>
  <si>
    <t>MITA-73</t>
  </si>
  <si>
    <t>Create Service Accounts</t>
  </si>
  <si>
    <t>2026-03-02T12:30:00.000-0600</t>
  </si>
  <si>
    <t>2026-03-03T17:00:00.000-0600</t>
  </si>
  <si>
    <t>2026-03-05T16:00:00.000-0600</t>
  </si>
  <si>
    <t>2026-03-09T13:00:00.000-0500</t>
  </si>
  <si>
    <t>2026-03-25T14:00:00.000-0500</t>
  </si>
  <si>
    <t>MITA-71</t>
  </si>
  <si>
    <t>Tableau Site Access Testing</t>
  </si>
  <si>
    <t>2026-02-18T16:30:00.000-0600</t>
  </si>
  <si>
    <t>2026-02-19T17:00:00.000-0600</t>
  </si>
  <si>
    <t>2026-03-23T10:00:00.000-0500</t>
  </si>
  <si>
    <t>MITA-68</t>
  </si>
  <si>
    <t>Phil - CyberArk</t>
  </si>
  <si>
    <t>2026-03-11T13:00:00.000-0500</t>
  </si>
  <si>
    <t>MITA-67</t>
  </si>
  <si>
    <t>Phil - Platform Access</t>
  </si>
  <si>
    <t>2026-02-16T14:00:00.000-0600</t>
  </si>
  <si>
    <t>2026-02-18T10:00:00.000-0600</t>
  </si>
  <si>
    <t>MITA-46</t>
  </si>
  <si>
    <t>External Calls</t>
  </si>
  <si>
    <t>2026-02-19T11:30:00.000-0600</t>
  </si>
  <si>
    <t>2026-02-23T11:00:00.000-0600</t>
  </si>
  <si>
    <t>2026-03-02T13:30:00.000-0600</t>
  </si>
  <si>
    <t>2026-03-04T10:30:00.000-0600</t>
  </si>
  <si>
    <t>2026-03-09T13:30:00.000-0500</t>
  </si>
  <si>
    <t>2026-03-11T10:30:00.000-0500</t>
  </si>
  <si>
    <t>2026-03-13T14:00:00.000-0500</t>
  </si>
  <si>
    <t>2026-03-16T13:30:00.000-0500</t>
  </si>
  <si>
    <t>2026-03-23T13:30:00.000-0500</t>
  </si>
  <si>
    <t>2026-03-24T14:00:00.000-0500</t>
  </si>
  <si>
    <t>2026-03-25T10:30:00.000-0500</t>
  </si>
  <si>
    <t>2026-03-30T13:30:00.000-0500</t>
  </si>
  <si>
    <t>2026-03-31T14:00:00.000-0500</t>
  </si>
  <si>
    <t>2026-04-01T10:30:00.000-0500</t>
  </si>
  <si>
    <t>2026-04-02T14:00:00.000-0500</t>
  </si>
  <si>
    <t>2026-04-06T13:30:00.000-0500</t>
  </si>
  <si>
    <t>2026-04-07T14:00:00.000-0500</t>
  </si>
  <si>
    <t>2026-04-08T10:30:00.000-0500</t>
  </si>
  <si>
    <t>2026-04-09T14:00:00.000-0500</t>
  </si>
  <si>
    <t>2026-04-15T10:30:00.000-0500</t>
  </si>
  <si>
    <t>2026-04-20T13:30:00.000-0500</t>
  </si>
  <si>
    <t>2026-04-21T14:00:00.000-0500</t>
  </si>
  <si>
    <t>2026-04-22T10:00:00.000-0500</t>
  </si>
  <si>
    <t>2026-04-23T14:00:00.000-0500</t>
  </si>
  <si>
    <t>2026-04-23T14:30:00.000-0500</t>
  </si>
  <si>
    <t>2026-04-27T13:30:00.000-0500</t>
  </si>
  <si>
    <t>2026-04-27T14:00:00.000-0500</t>
  </si>
  <si>
    <t>2026-04-28T14:00:00.000-0500</t>
  </si>
  <si>
    <t>2026-04-29T14:00:00.000-0500</t>
  </si>
  <si>
    <t>2026-05-05T14:00:00.000-0500</t>
  </si>
  <si>
    <t>2026-05-07T14:00:00.000-0500</t>
  </si>
  <si>
    <t>MITA-39</t>
  </si>
  <si>
    <t>Internal Calls</t>
  </si>
  <si>
    <t>2026-02-09T13:30:00.000-0600</t>
  </si>
  <si>
    <t>2026-02-12T11:30:00.000-0600</t>
  </si>
  <si>
    <t>2026-02-16T13:30:00.000-0600</t>
  </si>
  <si>
    <t>2026-02-23T13:30:00.000-0600</t>
  </si>
  <si>
    <t>2026-02-26T11:30:00.000-0600</t>
  </si>
  <si>
    <t>2026-03-04T10:00:00.000-0600</t>
  </si>
  <si>
    <t>2026-03-05T11:30:00.000-0600</t>
  </si>
  <si>
    <t>2026-03-11T10:00:00.000-0500</t>
  </si>
  <si>
    <t>2026-03-12T11:30:00.000-0500</t>
  </si>
  <si>
    <t>2026-03-12T11:45:00.000-0500</t>
  </si>
  <si>
    <t>2026-03-13T09:00:00.000-0500</t>
  </si>
  <si>
    <t>2026-03-17T11:30:00.000-0500</t>
  </si>
  <si>
    <t>2026-03-17T12:30:00.000-0500</t>
  </si>
  <si>
    <t>2026-03-17T14:00:00.000-0500</t>
  </si>
  <si>
    <t>2026-03-19T14:00:00.000-0500</t>
  </si>
  <si>
    <t>2026-03-23T13:00:00.000-0500</t>
  </si>
  <si>
    <t>2026-03-24T10:30:00.000-0500</t>
  </si>
  <si>
    <t>2026-03-30T13:00:00.000-0500</t>
  </si>
  <si>
    <t>2026-04-01T10:00:00.000-0500</t>
  </si>
  <si>
    <t>2026-04-09T12:00:00.000-0500</t>
  </si>
  <si>
    <t>2026-04-13T12:00:00.000-0500</t>
  </si>
  <si>
    <t>2026-04-21T12:00:00.000-0500</t>
  </si>
  <si>
    <t>2026-04-23T11:00:00.000-0500</t>
  </si>
  <si>
    <t>2026-04-23T12:00:00.000-0500</t>
  </si>
  <si>
    <t>2026-04-30T12:30:00.000-0500</t>
  </si>
  <si>
    <t>2026-04-30T14:00:00.000-0500</t>
  </si>
  <si>
    <t>2026-05-04T13:30:00.000-0500</t>
  </si>
  <si>
    <t>2026-05-06T10:00:00.000-0500</t>
  </si>
  <si>
    <t>MITA-37</t>
  </si>
  <si>
    <t>Phil P - VDI, Outlook, Teams, AD</t>
  </si>
  <si>
    <t>2026-02-09T11:00:00.000-0600</t>
  </si>
  <si>
    <t>2026-02-09T13:00:00.000-0600</t>
  </si>
  <si>
    <t>2026-02-09T15:00:00.000-0600</t>
  </si>
  <si>
    <t>2026-02-10T09:30:00.000-0600</t>
  </si>
  <si>
    <t>2026-02-10T22:30:00.000-0600</t>
  </si>
  <si>
    <t>2026-02-11T10:30:00.000-0600</t>
  </si>
  <si>
    <t>2026-02-12T12:00:00.000-0600</t>
  </si>
  <si>
    <t>2026-02-12T12:30:00.000-0600</t>
  </si>
  <si>
    <t>2026-02-13T11:30:00.000-0600</t>
  </si>
  <si>
    <t>2026-02-13T13:30:00.000-0600</t>
  </si>
  <si>
    <t>2026-02-13T16:00:00.000-0600</t>
  </si>
  <si>
    <t>MITA-36</t>
  </si>
  <si>
    <t>Phil P - Gitlab, projects and repos</t>
  </si>
  <si>
    <t>2026-02-20T14:30:00.000-0600</t>
  </si>
  <si>
    <t>2026-02-23T14:00:00.000-0600</t>
  </si>
  <si>
    <t>2026-02-23T15:00:00.000-0600</t>
  </si>
  <si>
    <t>2026-02-24T17:30:00.000-0600</t>
  </si>
  <si>
    <t>2026-02-25T13:00:00.000-0600</t>
  </si>
  <si>
    <t>2026-02-25T18:00:00.000-0600</t>
  </si>
  <si>
    <t>2026-02-26T10:30:00.000-0600</t>
  </si>
  <si>
    <t>2026-08-03T16:15:00.000-0500</t>
  </si>
  <si>
    <t>2026-08-04T10:30:00.000-0500</t>
  </si>
  <si>
    <t>2026-08-04T12:00:00.000-0500</t>
  </si>
  <si>
    <t>2026-08-05T15:00:00.000-0500</t>
  </si>
  <si>
    <t>2026-08-06T10:30:00.000-0500</t>
  </si>
  <si>
    <t>2026-07-22T09:30:00.000-0500</t>
  </si>
  <si>
    <t>2026-07-23T15:00:00.000-0500</t>
  </si>
  <si>
    <t>2026-07-28T14:00:00.000-0500</t>
  </si>
  <si>
    <t>2026-08-07T10:00:00.000-0500</t>
  </si>
  <si>
    <t>2026-07-20T11:30:00.000-0500</t>
  </si>
  <si>
    <t>2026-07-23T12:00:00.000-0500</t>
  </si>
  <si>
    <t>2026-07-24T11:00:00.000-0500</t>
  </si>
  <si>
    <t>2026-07-20T16:00:00.000-0500</t>
  </si>
  <si>
    <t>2026-07-21T17:30:00.000-0500</t>
  </si>
  <si>
    <t>2026-07-29T17:30:00.000-0500</t>
  </si>
  <si>
    <t>2026-07-30T11:30:00.000-0500</t>
  </si>
  <si>
    <t>2026-08-06T14:00:00.000-0500</t>
  </si>
  <si>
    <t>2026-07-20T15:30:00.000-0500</t>
  </si>
  <si>
    <t>2026-07-21T10:30:00.000-0500</t>
  </si>
  <si>
    <t>2026-07-21T17:00:00.000-0500</t>
  </si>
  <si>
    <t>2026-07-22T11:00:00.000-0500</t>
  </si>
  <si>
    <t>2026-07-23T10:30:00.000-0500</t>
  </si>
  <si>
    <t>2026-07-24T15:00:00.000-0500</t>
  </si>
  <si>
    <t>2026-07-27T16:45:00.000-0500</t>
  </si>
  <si>
    <t>2026-07-28T09:00:00.000-0500</t>
  </si>
  <si>
    <t>2026-07-28T19:00:00.000-0500</t>
  </si>
  <si>
    <t>300m</t>
  </si>
  <si>
    <t>2026-07-29T12:00:00.000-0500</t>
  </si>
  <si>
    <t>2026-07-30T12:00:00.000-0500</t>
  </si>
  <si>
    <t>2026-07-30T15:00:00.000-0500</t>
  </si>
  <si>
    <t>2026-07-31T09:00:00.000-0500</t>
  </si>
  <si>
    <t>2026-07-31T11:30:00.000-0500</t>
  </si>
  <si>
    <t>2026-08-03T08:30:00.000-0500</t>
  </si>
  <si>
    <t>2026-08-04T14:00:00.000-0500</t>
  </si>
  <si>
    <t>2026-08-05T13:00:00.000-0500</t>
  </si>
  <si>
    <t>CEOT-782</t>
  </si>
  <si>
    <t>Update Curator ref data</t>
  </si>
  <si>
    <t>2026-06-03T11:00:00.000-0500</t>
  </si>
  <si>
    <t>2026-06-05T12:45:00.000-0500</t>
  </si>
  <si>
    <t>2026-06-10T14:00:00.000-0500</t>
  </si>
  <si>
    <t>CEOT-705</t>
  </si>
  <si>
    <t>Curator - Follow up from Dev upgrade</t>
  </si>
  <si>
    <t>2026-05-19T15:00:00.000-0500</t>
  </si>
  <si>
    <t>2026-05-12T10:00:00.000-0500</t>
  </si>
  <si>
    <t>2026-05-13T14:00:00.000-0500</t>
  </si>
  <si>
    <t>2026-05-22T11:30:00.000-0500</t>
  </si>
  <si>
    <t>2026-07-30T14:00:00.000-0500</t>
  </si>
  <si>
    <t>2026-05-12T08:00:00.000-0500</t>
  </si>
  <si>
    <t>2026-05-14T10:30:00.000-0500</t>
  </si>
  <si>
    <t>2026-05-15T09:30:00.000-0500</t>
  </si>
  <si>
    <t>2026-05-21T13:00:00.000-0500</t>
  </si>
  <si>
    <t>2026-05-22T10:30:00.000-0500</t>
  </si>
  <si>
    <t>2026-05-29T10:00:00.000-0500</t>
  </si>
  <si>
    <t>2026-06-02T08:30:00.000-0500</t>
  </si>
  <si>
    <t>2026-06-02T10:00:00.000-0500</t>
  </si>
  <si>
    <t>2026-06-09T12:00:00.000-0500</t>
  </si>
  <si>
    <t>2026-06-10T08:00:00.000-0500</t>
  </si>
  <si>
    <t>2026-06-10T09:30:00.000-0500</t>
  </si>
  <si>
    <t>2026-06-11T09:00:00.000-0500</t>
  </si>
  <si>
    <t>2026-07-08T13:30:00.000-0500</t>
  </si>
  <si>
    <t>2026-07-08T15:00:00.000-0500</t>
  </si>
  <si>
    <t>2026-07-13T15:30:00.000-0500</t>
  </si>
  <si>
    <t>2026-07-14T11:00:00.000-0500</t>
  </si>
  <si>
    <t>2026-07-15T12:00:00.000-0500</t>
  </si>
  <si>
    <t>2026-07-31T13:00:00.000-0500</t>
  </si>
  <si>
    <t>2026-08-04T17:00:00.000-0500</t>
  </si>
  <si>
    <t>CEOT-699</t>
  </si>
  <si>
    <t>Contact David Stewart at CFA re: runbook (AH2-4309)</t>
  </si>
  <si>
    <t>2026-05-12T11:00:00.000-0500</t>
  </si>
  <si>
    <t>2026-05-13T11:30:00.000-0500</t>
  </si>
  <si>
    <t>2026-04-13T13:30:00.000-0500</t>
  </si>
  <si>
    <t>2026-04-14T10:00:00.000-0500</t>
  </si>
  <si>
    <t>2026-04-15T11:30:00.000-0500</t>
  </si>
  <si>
    <t>2026-04-15T13:30:00.000-0500</t>
  </si>
  <si>
    <t>2026-04-16T12:30:00.000-0500</t>
  </si>
  <si>
    <t>2026-04-21T11:00:00.000-0500</t>
  </si>
  <si>
    <t>2026-04-21T14:30:00.000-0500</t>
  </si>
  <si>
    <t>2026-05-28T12:30:00.000-0500</t>
  </si>
  <si>
    <t>2026-06-22T11:30:00.000-0500</t>
  </si>
  <si>
    <t>2026-07-14T12:00:00.000-0500</t>
  </si>
  <si>
    <t>2026-07-15T09:30:00.000-0500</t>
  </si>
  <si>
    <t>2026-04-08T15:00:00.000-0500</t>
  </si>
  <si>
    <t>2026-04-22T13:15:00.000-0500</t>
  </si>
  <si>
    <t>2026-05-05T20:00:00.000-0500</t>
  </si>
  <si>
    <t>2026-06-25T10:00:00.000-0500</t>
  </si>
  <si>
    <t>2026-04-01T13:00:00.000-0500</t>
  </si>
  <si>
    <t>2026-04-01T14:00:00.000-0500</t>
  </si>
  <si>
    <t>2026-04-03T10:00:00.000-0500</t>
  </si>
  <si>
    <t>2026-04-03T15:30:00.000-0500</t>
  </si>
  <si>
    <t>2026-04-06T10:00:00.000-0500</t>
  </si>
  <si>
    <t>2026-04-06T14:00:00.000-0500</t>
  </si>
  <si>
    <t>2026-04-06T14:30:00.000-0500</t>
  </si>
  <si>
    <t>2026-04-07T22:30:00.000-0500</t>
  </si>
  <si>
    <t>2026-04-23T10:30:00.000-0500</t>
  </si>
  <si>
    <t>2026-04-24T14:30:00.000-0500</t>
  </si>
  <si>
    <t>2026-05-05T10:00:00.000-0500</t>
  </si>
  <si>
    <t>2026-05-11T14:00:00.000-0500</t>
  </si>
  <si>
    <t>2026-05-11T22:00:00.000-0500</t>
  </si>
  <si>
    <t>2026-05-14T12:30:00.000-0500</t>
  </si>
  <si>
    <t>2026-05-18T17:30:00.000-0500</t>
  </si>
  <si>
    <t>2026-05-19T10:00:00.000-0500</t>
  </si>
  <si>
    <t>2026-05-21T10:30:00.000-0500</t>
  </si>
  <si>
    <t>2026-05-22T14:00:00.000-0500</t>
  </si>
  <si>
    <t>2026-05-27T09:00:00.000-0500</t>
  </si>
  <si>
    <t>2026-05-27T10:00:00.000-0500</t>
  </si>
  <si>
    <t>2026-05-28T08:00:00.000-0500</t>
  </si>
  <si>
    <t>2026-05-29T11:15:00.000-0500</t>
  </si>
  <si>
    <t>2026-06-01T12:30:00.000-0500</t>
  </si>
  <si>
    <t>2026-06-01T13:30:00.000-0500</t>
  </si>
  <si>
    <t>2026-06-02T19:00:00.000-0500</t>
  </si>
  <si>
    <t>2026-06-04T09:00:00.000-0500</t>
  </si>
  <si>
    <t>2026-06-05T12:00:00.000-0500</t>
  </si>
  <si>
    <t>2026-06-09T10:00:00.000-0500</t>
  </si>
  <si>
    <t>2026-06-09T16:00:00.000-0500</t>
  </si>
  <si>
    <t>2026-06-11T12:00:00.000-0500</t>
  </si>
  <si>
    <t>2026-06-11T16:00:00.000-0500</t>
  </si>
  <si>
    <t>2026-06-23T10:30:00.000-0500</t>
  </si>
  <si>
    <t>2026-06-24T08:00:00.000-0500</t>
  </si>
  <si>
    <t>2026-06-24T11:15:00.000-0500</t>
  </si>
  <si>
    <t>2026-06-24T13:00:00.000-0500</t>
  </si>
  <si>
    <t>2026-06-26T13:30:00.000-0500</t>
  </si>
  <si>
    <t>2026-06-29T10:30:00.000-0500</t>
  </si>
  <si>
    <t>2026-06-29T13:30:00.000-0500</t>
  </si>
  <si>
    <t>2026-06-30T16:30:00.000-0500</t>
  </si>
  <si>
    <t>2026-07-01T11:30:00.000-0500</t>
  </si>
  <si>
    <t>2026-07-01T13:45:00.000-0500</t>
  </si>
  <si>
    <t>2026-07-02T12:00:00.000-0500</t>
  </si>
  <si>
    <t>2026-07-07T11:00:00.000-0500</t>
  </si>
  <si>
    <t>2026-07-07T12:00:00.000-0500</t>
  </si>
  <si>
    <t>2026-07-10T11:30:00.000-0500</t>
  </si>
  <si>
    <t>2026-07-10T13:00:00.000-0500</t>
  </si>
  <si>
    <t>2026-07-10T14:30:00.000-0500</t>
  </si>
  <si>
    <t>2026-07-13T11:00:00.000-0500</t>
  </si>
  <si>
    <t>2026-07-13T17:30:00.000-0500</t>
  </si>
  <si>
    <t>2026-07-13T19:00:00.000-0500</t>
  </si>
  <si>
    <t>2026-07-14T10:00:00.000-0500</t>
  </si>
  <si>
    <t>2026-07-14T14:00:00.000-0500</t>
  </si>
  <si>
    <t>2026-07-14T17:30:00.000-0500</t>
  </si>
  <si>
    <t>2026-07-15T12:30:00.000-0500</t>
  </si>
  <si>
    <t>2026-07-15T17:00:00.000-0500</t>
  </si>
  <si>
    <t>2026-07-15T21:30:00.000-0500</t>
  </si>
  <si>
    <t>2026-07-16T11:30:00.000-0500</t>
  </si>
  <si>
    <t>2026-07-16T12:30:00.000-0500</t>
  </si>
  <si>
    <t>2026-07-20T18:00:00.000-0500</t>
  </si>
  <si>
    <t>2026-07-21T16:30:00.000-0500</t>
  </si>
  <si>
    <t>2026-07-23T14:00:00.000-0500</t>
  </si>
  <si>
    <t>2026-07-27T14:00:00.000-0500</t>
  </si>
  <si>
    <t>2026-07-28T18:15:00.000-0500</t>
  </si>
  <si>
    <t>CEOT-619</t>
  </si>
  <si>
    <t>AH2-4443: Autodoc - Review / Apply to all repos</t>
  </si>
  <si>
    <t>2026-04-07T07:00:00.000-0500</t>
  </si>
  <si>
    <t>2026-04-17T11:30:00.000-0500</t>
  </si>
  <si>
    <t>2026-04-17T15:30:00.000-0500</t>
  </si>
  <si>
    <t>2026-04-20T11:30:00.000-0500</t>
  </si>
  <si>
    <t>2026-04-27T11:00:00.000-0500</t>
  </si>
  <si>
    <t>2026-04-28T10:00:00.000-0500</t>
  </si>
  <si>
    <t>2026-04-28T21:00:00.000-0500</t>
  </si>
  <si>
    <t>2026-04-29T11:00:00.000-0500</t>
  </si>
  <si>
    <t>2026-04-30T21:00:00.000-0500</t>
  </si>
  <si>
    <t>2026-05-04T11:30:00.000-0500</t>
  </si>
  <si>
    <t>2026-05-04T21:00:00.000-0500</t>
  </si>
  <si>
    <t>2026-05-05T12:30:00.000-0500</t>
  </si>
  <si>
    <t>2026-05-11T15:00:00.000-0500</t>
  </si>
  <si>
    <t>2026-05-12T12:00:00.000-0500</t>
  </si>
  <si>
    <t>2026-05-13T12:30:00.000-0500</t>
  </si>
  <si>
    <t>2026-05-18T16:30:00.000-0500</t>
  </si>
  <si>
    <t>2026-05-19T14:00:00.000-0500</t>
  </si>
  <si>
    <t>2026-05-29T16:00:00.000-0500</t>
  </si>
  <si>
    <t>2026-06-03T15:00:00.000-0500</t>
  </si>
  <si>
    <t>2026-06-22T15:00:00.000-0500</t>
  </si>
  <si>
    <t>2026-06-23T12:00:00.000-0500</t>
  </si>
  <si>
    <t>2026-06-24T16:00:00.000-0500</t>
  </si>
  <si>
    <t>2026-06-29T11:30:00.000-0500</t>
  </si>
  <si>
    <t>CEOT-618</t>
  </si>
  <si>
    <t>AH2-3698 and AH2-4148</t>
  </si>
  <si>
    <t>2026-04-10T09:30:00.000-0500</t>
  </si>
  <si>
    <t>CEOT-538</t>
  </si>
  <si>
    <t>Server Restart</t>
  </si>
  <si>
    <t>2026-02-22T20:00:00.000-0600</t>
  </si>
  <si>
    <t>CEOT-484</t>
  </si>
  <si>
    <t>2026-02-11T11:00:00.000-0600</t>
  </si>
  <si>
    <t>2026-02-11T14:00:00.000-0600</t>
  </si>
  <si>
    <t>2026-02-12T22:00:00.000-0600</t>
  </si>
  <si>
    <t>2026-02-13T11:00:00.000-0600</t>
  </si>
  <si>
    <t>2026-02-13T15:30:00.000-0600</t>
  </si>
  <si>
    <t>2026-01-13T10:00:00.000-0600</t>
  </si>
  <si>
    <t>2026-01-13T13:30:00.000-0600</t>
  </si>
  <si>
    <t>2026-01-15T09:30:00.000-0600</t>
  </si>
  <si>
    <t>2026-01-22T13:30:00.000-0600</t>
  </si>
  <si>
    <t>2026-01-27T13:30:00.000-0600</t>
  </si>
  <si>
    <t>2026-02-03T13:30:00.000-0600</t>
  </si>
  <si>
    <t>2026-02-04T09:00:00.000-0600</t>
  </si>
  <si>
    <t>2026-02-05T13:30:00.000-0600</t>
  </si>
  <si>
    <t>2026-02-06T12:00:00.000-0600</t>
  </si>
  <si>
    <t>2026-02-06T12:30:00.000-0600</t>
  </si>
  <si>
    <t>2026-02-09T10:35:00.000-0600</t>
  </si>
  <si>
    <t>2026-02-09T14:30:00.000-0600</t>
  </si>
  <si>
    <t>2026-02-10T10:05:00.000-0600</t>
  </si>
  <si>
    <t>2026-02-10T13:30:00.000-0600</t>
  </si>
  <si>
    <t>2026-02-11T12:00:00.000-0600</t>
  </si>
  <si>
    <t>2026-02-11T13:35:00.000-0600</t>
  </si>
  <si>
    <t>2026-02-11T14:35:00.000-0600</t>
  </si>
  <si>
    <t>2026-02-13T14:00:00.000-0600</t>
  </si>
  <si>
    <t>2026-02-16T10:35:00.000-0600</t>
  </si>
  <si>
    <t>2026-02-17T08:30:00.000-0600</t>
  </si>
  <si>
    <t>2026-02-17T13:30:00.000-0600</t>
  </si>
  <si>
    <t>2026-02-17T14:00:00.000-0600</t>
  </si>
  <si>
    <t>2026-02-18T12:00:00.000-0600</t>
  </si>
  <si>
    <t>2026-02-18T13:00:00.000-0600</t>
  </si>
  <si>
    <t>2026-02-19T09:35:00.000-0600</t>
  </si>
  <si>
    <t>2026-02-19T13:30:00.000-0600</t>
  </si>
  <si>
    <t>2026-02-23T12:30:00.000-0600</t>
  </si>
  <si>
    <t>2026-02-24T08:30:00.000-0600</t>
  </si>
  <si>
    <t>2026-02-24T14:00:00.000-0600</t>
  </si>
  <si>
    <t>2026-02-25T12:00:00.000-0600</t>
  </si>
  <si>
    <t>2026-02-25T12:30:00.000-0600</t>
  </si>
  <si>
    <t>2026-02-26T12:00:00.000-0600</t>
  </si>
  <si>
    <t>2026-02-26T14:30:00.000-0600</t>
  </si>
  <si>
    <t>2026-02-27T12:00:00.000-0600</t>
  </si>
  <si>
    <t>2026-03-03T08:30:00.000-0600</t>
  </si>
  <si>
    <t>2026-03-03T13:30:00.000-0600</t>
  </si>
  <si>
    <t>2026-03-04T12:00:00.000-0600</t>
  </si>
  <si>
    <t>2026-03-04T13:00:00.000-0600</t>
  </si>
  <si>
    <t>2026-03-05T13:30:00.000-0600</t>
  </si>
  <si>
    <t>2026-03-09T14:35:00.000-0500</t>
  </si>
  <si>
    <t>2026-03-10T13:30:00.000-0500</t>
  </si>
  <si>
    <t>2026-03-11T12:00:00.000-0500</t>
  </si>
  <si>
    <t>2026-03-12T12:35:00.000-0500</t>
  </si>
  <si>
    <t>2026-03-12T14:00:00.000-0500</t>
  </si>
  <si>
    <t>2026-03-13T12:00:00.000-0500</t>
  </si>
  <si>
    <t>2026-03-17T13:30:00.000-0500</t>
  </si>
  <si>
    <t>2026-03-18T10:20:00.000-0500</t>
  </si>
  <si>
    <t>2026-03-18T12:00:00.000-0500</t>
  </si>
  <si>
    <t>2026-03-18T13:00:00.000-0500</t>
  </si>
  <si>
    <t>2026-03-18T14:00:00.000-0500</t>
  </si>
  <si>
    <t>2026-03-19T13:30:00.000-0500</t>
  </si>
  <si>
    <t>2026-03-24T13:30:00.000-0500</t>
  </si>
  <si>
    <t>2026-03-25T12:00:00.000-0500</t>
  </si>
  <si>
    <t>2026-03-31T13:30:00.000-0500</t>
  </si>
  <si>
    <t>2026-04-02T13:30:00.000-0500</t>
  </si>
  <si>
    <t>2026-04-07T13:30:00.000-0500</t>
  </si>
  <si>
    <t>2026-04-08T12:00:00.000-0500</t>
  </si>
  <si>
    <t>2026-04-13T10:00:00.000-0500</t>
  </si>
  <si>
    <t>2026-04-14T13:30:00.000-0500</t>
  </si>
  <si>
    <t>2026-04-16T13:30:00.000-0500</t>
  </si>
  <si>
    <t>2026-04-21T13:30:00.000-0500</t>
  </si>
  <si>
    <t>2026-04-22T12:00:00.000-0500</t>
  </si>
  <si>
    <t>2026-04-24T12:30:00.000-0500</t>
  </si>
  <si>
    <t>2026-04-27T10:00:00.000-0500</t>
  </si>
  <si>
    <t>2026-04-29T12:00:00.000-0500</t>
  </si>
  <si>
    <t>2026-04-30T13:30:00.000-0500</t>
  </si>
  <si>
    <t>2026-05-01T11:00:00.000-0500</t>
  </si>
  <si>
    <t>2026-05-05T13:30:00.000-0500</t>
  </si>
  <si>
    <t>2026-05-07T11:30:00.000-0500</t>
  </si>
  <si>
    <t>2026-05-07T13:30:00.000-0500</t>
  </si>
  <si>
    <t>2026-05-08T12:30:00.000-0500</t>
  </si>
  <si>
    <t>2026-05-11T10:00:00.000-0500</t>
  </si>
  <si>
    <t>2026-05-12T13:30:00.000-0500</t>
  </si>
  <si>
    <t>2026-05-14T13:30:00.000-0500</t>
  </si>
  <si>
    <t>2026-05-19T13:30:00.000-0500</t>
  </si>
  <si>
    <t>2026-05-20T12:00:00.000-0500</t>
  </si>
  <si>
    <t>2026-05-21T13:30:00.000-0500</t>
  </si>
  <si>
    <t>2026-05-28T13:30:00.000-0500</t>
  </si>
  <si>
    <t>2026-06-02T13:30:00.000-0500</t>
  </si>
  <si>
    <t>2026-06-03T12:00:00.000-0500</t>
  </si>
  <si>
    <t>2026-06-04T13:30:00.000-0500</t>
  </si>
  <si>
    <t>2026-06-10T12:00:00.000-0500</t>
  </si>
  <si>
    <t>2026-06-11T13:00:00.000-0500</t>
  </si>
  <si>
    <t>2026-06-22T10:00:00.000-0500</t>
  </si>
  <si>
    <t>2026-06-23T13:30:00.000-0500</t>
  </si>
  <si>
    <t>2026-06-25T13:30:00.000-0500</t>
  </si>
  <si>
    <t>2026-06-30T13:30:00.000-0500</t>
  </si>
  <si>
    <t>2026-07-02T13:30:00.000-0500</t>
  </si>
  <si>
    <t>2026-07-07T13:30:00.000-0500</t>
  </si>
  <si>
    <t>2026-07-08T12:00:00.000-0500</t>
  </si>
  <si>
    <t>2026-07-09T13:30:00.000-0500</t>
  </si>
  <si>
    <t>2026-07-14T13:30:00.000-0500</t>
  </si>
  <si>
    <t>2026-07-15T10:30:00.000-0500</t>
  </si>
  <si>
    <t>2026-07-16T09:30:00.000-0500</t>
  </si>
  <si>
    <t>2026-07-16T13:30:00.000-0500</t>
  </si>
  <si>
    <t>2026-07-21T13:30:00.000-0500</t>
  </si>
  <si>
    <t>2026-07-23T13:30:00.000-0500</t>
  </si>
  <si>
    <t>2026-07-28T14:30:00.000-0500</t>
  </si>
  <si>
    <t>2026-07-30T13:30:00.000-0500</t>
  </si>
  <si>
    <t>2026-08-03T10:00:00.000-0500</t>
  </si>
  <si>
    <t>2026-08-04T13:30:00.000-0500</t>
  </si>
  <si>
    <t>2026-08-04T14:30:00.000-0500</t>
  </si>
  <si>
    <t>2026-08-06T13:30:00.000-0500</t>
  </si>
  <si>
    <t>2026-01-07T09:30:00.000-0600</t>
  </si>
  <si>
    <t>2026-01-08T12:00:00.000-0600</t>
  </si>
  <si>
    <t>2026-01-08T14:30:00.000-0600</t>
  </si>
  <si>
    <t>2026-01-13T12:00:00.000-0600</t>
  </si>
  <si>
    <t>2026-01-21T11:00:00.000-0600</t>
  </si>
  <si>
    <t>2026-01-23T12:30:00.000-0600</t>
  </si>
  <si>
    <t>2026-01-27T09:15:00.000-0600</t>
  </si>
  <si>
    <t>2026-01-30T12:30:00.000-0600</t>
  </si>
  <si>
    <t>2026-02-05T11:30:00.000-0600</t>
  </si>
  <si>
    <t>2026-02-06T08:30:00.000-0600</t>
  </si>
  <si>
    <t>2026-02-13T12:30:00.000-0600</t>
  </si>
  <si>
    <t>2026-03-02T10:00:00.000-0600</t>
  </si>
  <si>
    <t>2026-03-03T15:30:00.000-0600</t>
  </si>
  <si>
    <t>2026-03-10T09:00:00.000-0500</t>
  </si>
  <si>
    <t>2026-03-10T12:00:00.000-0500</t>
  </si>
  <si>
    <t>2026-03-10T14:30:00.000-0500</t>
  </si>
  <si>
    <t>2026-03-11T14:00:00.000-0500</t>
  </si>
  <si>
    <t>2026-03-11T16:30:00.000-0500</t>
  </si>
  <si>
    <t>2026-03-13T12:30:00.000-0500</t>
  </si>
  <si>
    <t>2026-03-16T14:30:00.000-0500</t>
  </si>
  <si>
    <t>2026-03-18T15:00:00.000-0500</t>
  </si>
  <si>
    <t>2026-03-25T15:00:00.000-0500</t>
  </si>
  <si>
    <t>2026-04-07T11:30:00.000-0500</t>
  </si>
  <si>
    <t>2026-04-09T11:30:00.000-0500</t>
  </si>
  <si>
    <t>75m</t>
  </si>
  <si>
    <t>2026-04-14T09:00:00.000-0500</t>
  </si>
  <si>
    <t>2026-04-14T11:00:00.000-0500</t>
  </si>
  <si>
    <t>2026-04-14T11:30:00.000-0500</t>
  </si>
  <si>
    <t>2026-04-14T16:30:00.000-0500</t>
  </si>
  <si>
    <t>2026-04-16T11:30:00.000-0500</t>
  </si>
  <si>
    <t>2026-04-22T14:00:00.000-0500</t>
  </si>
  <si>
    <t>2026-04-23T11:30:00.000-0500</t>
  </si>
  <si>
    <t>2026-04-28T13:30:00.000-0500</t>
  </si>
  <si>
    <t>2026-04-30T11:30:00.000-0500</t>
  </si>
  <si>
    <t>2026-05-12T11:30:00.000-0500</t>
  </si>
  <si>
    <t>2026-05-14T11:30:00.000-0500</t>
  </si>
  <si>
    <t>2026-05-19T09:00:00.000-0500</t>
  </si>
  <si>
    <t>2026-05-19T11:30:00.000-0500</t>
  </si>
  <si>
    <t>2026-05-21T11:30:00.000-0500</t>
  </si>
  <si>
    <t>2026-05-27T13:00:00.000-0500</t>
  </si>
  <si>
    <t>2026-05-29T12:30:00.000-0500</t>
  </si>
  <si>
    <t>2026-06-02T11:30:00.000-0500</t>
  </si>
  <si>
    <t>2026-06-09T11:30:00.000-0500</t>
  </si>
  <si>
    <t>2026-06-09T13:30:00.000-0500</t>
  </si>
  <si>
    <t>2026-06-12T12:30:00.000-0500</t>
  </si>
  <si>
    <t>2026-06-23T09:00:00.000-0500</t>
  </si>
  <si>
    <t>2026-06-23T11:30:00.000-0500</t>
  </si>
  <si>
    <t>2026-06-26T13:00:00.000-0500</t>
  </si>
  <si>
    <t>2026-06-30T11:30:00.000-0500</t>
  </si>
  <si>
    <t>2026-06-30T14:00:00.000-0500</t>
  </si>
  <si>
    <t>2026-07-07T11:30:00.000-0500</t>
  </si>
  <si>
    <t>2026-07-10T12:30:00.000-0500</t>
  </si>
  <si>
    <t>2026-07-14T11:30:00.000-0500</t>
  </si>
  <si>
    <t>2026-07-20T15:00:00.000-0500</t>
  </si>
  <si>
    <t>2026-07-21T09:00:00.000-0500</t>
  </si>
  <si>
    <t>2026-07-21T11:30:00.000-0500</t>
  </si>
  <si>
    <t>2026-07-23T14:30:00.000-0500</t>
  </si>
  <si>
    <t>2026-07-28T13:30:00.000-0500</t>
  </si>
  <si>
    <t>2026-07-31T12:30:00.000-0500</t>
  </si>
  <si>
    <t>2026-08-04T11:30:00.000-0500</t>
  </si>
  <si>
    <t>2026-08-07T12:30:00.000-0500</t>
  </si>
  <si>
    <t>2026-01-08T12:30:00.000-0600</t>
  </si>
  <si>
    <t>2026-01-12T11:00:00.000-0600</t>
  </si>
  <si>
    <t>2026-01-13T09:00:00.000-0600</t>
  </si>
  <si>
    <t>2026-02-04T14:00:00.000-0600</t>
  </si>
  <si>
    <t>2026-02-05T12:30:00.000-0600</t>
  </si>
  <si>
    <t>2026-02-05T14:30:00.000-0600</t>
  </si>
  <si>
    <t>2026-02-06T11:30:00.000-0600</t>
  </si>
  <si>
    <t>2026-02-16T10:00:00.000-0600</t>
  </si>
  <si>
    <t>2026-02-18T11:00:00.000-0600</t>
  </si>
  <si>
    <t>2026-02-18T12:30:00.000-0600</t>
  </si>
  <si>
    <t>2026-02-20T08:00:00.000-0600</t>
  </si>
  <si>
    <t>2026-02-20T12:30:00.000-0600</t>
  </si>
  <si>
    <t>2026-02-24T10:30:00.000-0600</t>
  </si>
  <si>
    <t>2026-02-26T14:00:00.000-0600</t>
  </si>
  <si>
    <t>2026-03-02T14:00:00.000-0600</t>
  </si>
  <si>
    <t>2026-03-02T15:00:00.000-0600</t>
  </si>
  <si>
    <t>2026-03-03T08:00:00.000-0600</t>
  </si>
  <si>
    <t>2026-03-03T16:00:00.000-0600</t>
  </si>
  <si>
    <t>2026-03-04T12:30:00.000-0600</t>
  </si>
  <si>
    <t>2026-03-04T13:30:00.000-0600</t>
  </si>
  <si>
    <t>2026-03-05T13:00:00.000-0600</t>
  </si>
  <si>
    <t>2026-03-09T16:15:00.000-0500</t>
  </si>
  <si>
    <t>2026-03-10T11:30:00.000-0500</t>
  </si>
  <si>
    <t>2026-03-11T11:30:00.000-0500</t>
  </si>
  <si>
    <t>2026-03-13T16:15:00.000-0500</t>
  </si>
  <si>
    <t>2026-03-16T09:00:00.000-0500</t>
  </si>
  <si>
    <t>2026-03-16T15:30:00.000-0500</t>
  </si>
  <si>
    <t>2026-03-18T11:30:00.000-0500</t>
  </si>
  <si>
    <t>2026-03-18T12:30:00.000-0500</t>
  </si>
  <si>
    <t>2026-03-24T13:00:00.000-0500</t>
  </si>
  <si>
    <t>2026-03-25T11:30:00.000-0500</t>
  </si>
  <si>
    <t>2026-03-27T09:30:00.000-0500</t>
  </si>
  <si>
    <t>2026-03-27T10:00:00.000-0500</t>
  </si>
  <si>
    <t>2026-03-27T10:30:00.000-0500</t>
  </si>
  <si>
    <t>2026-03-27T13:00:00.000-0500</t>
  </si>
  <si>
    <t>2026-03-30T12:00:00.000-0500</t>
  </si>
  <si>
    <t>2026-03-30T16:30:00.000-0500</t>
  </si>
  <si>
    <t>2026-03-31T12:00:00.000-0500</t>
  </si>
  <si>
    <t>2026-03-31T12:30:00.000-0500</t>
  </si>
  <si>
    <t>2026-03-31T16:30:00.000-0500</t>
  </si>
  <si>
    <t>2026-04-02T13:00:00.000-0500</t>
  </si>
  <si>
    <t>180m</t>
  </si>
  <si>
    <t>2026-04-06T23:00:00.000-0500</t>
  </si>
  <si>
    <t>2026-04-07T12:00:00.000-0500</t>
  </si>
  <si>
    <t>2026-05-06T11:00:00.000-0500</t>
  </si>
  <si>
    <t>2026-05-06T12:00:00.000-0500</t>
  </si>
  <si>
    <t>2026-06-25T12:00:00.000-0500</t>
  </si>
  <si>
    <t>2026-06-25T19:00:00.000-0500</t>
  </si>
  <si>
    <t>2026-07-06T19:00:00.000-0500</t>
  </si>
  <si>
    <t>2026-07-06T19:30:00.000-0500</t>
  </si>
  <si>
    <t>2026-07-07T15:30:00.000-0500</t>
  </si>
  <si>
    <t>2026-07-09T09:00:00.000-0500</t>
  </si>
  <si>
    <t>2026-07-09T13:00:00.000-0500</t>
  </si>
  <si>
    <t>2026-07-10T15:00:00.000-0500</t>
  </si>
  <si>
    <t>2026-07-10T15:30:00.000-0500</t>
  </si>
  <si>
    <t>2026-07-16T10:00:00.000-0500</t>
  </si>
  <si>
    <t>105m</t>
  </si>
  <si>
    <t>165m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</si>
</sst>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-mm-dd"/>
    <numFmt numFmtId="165" formatCode="h:mm am/pm"/>
    <numFmt numFmtId="166" formatCode="yyyy&quot;-&quot;mm&quot;-&quot;dd"/>
    <numFmt numFmtId="167" formatCode="h:mm:ss am/pm"/>
    <numFmt numFmtId="168" formatCode="mm&quot;/&quot;dd&quot;/&quot;yyyy"/>
    <numFmt numFmtId="169" formatCode="M/d/yyyy"/>
    <numFmt numFmtId="170" formatCode="0.0"/>
    <numFmt numFmtId="171" formatCode="m/d/yy"/>
    <numFmt numFmtId="172" formatCode="#,##0.0"/>
    <numFmt numFmtId="173" formatCode="0.0%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</fonts>
  <fills count="20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A4BDFC"/>
        <bgColor rgb="FFA4BDFC"/>
      </patternFill>
    </fill>
    <fill>
      <patternFill patternType="solid">
        <fgColor rgb="FFC9DAF8"/>
        <bgColor rgb="FFC9DAF8"/>
      </patternFill>
    </fill>
    <fill>
      <patternFill patternType="solid">
        <fgColor rgb="FF7AE7BF"/>
        <bgColor rgb="FF7AE7BF"/>
      </patternFill>
    </fill>
    <fill>
      <patternFill patternType="solid">
        <fgColor rgb="FFDBADFF"/>
        <bgColor rgb="FFDBADFF"/>
      </patternFill>
    </fill>
    <fill>
      <patternFill patternType="solid">
        <fgColor rgb="FFFF887C"/>
        <bgColor rgb="FFFF887C"/>
      </patternFill>
    </fill>
    <fill>
      <patternFill patternType="solid">
        <fgColor rgb="FFFBD75B"/>
        <bgColor rgb="FFFBD75B"/>
      </patternFill>
    </fill>
    <fill>
      <patternFill patternType="solid">
        <fgColor rgb="FFFFB878"/>
        <bgColor rgb="FFFFB878"/>
      </patternFill>
    </fill>
    <fill>
      <patternFill patternType="solid">
        <fgColor rgb="FF46D6DB"/>
        <bgColor rgb="FF46D6DB"/>
      </patternFill>
    </fill>
    <fill>
      <patternFill patternType="solid">
        <fgColor rgb="FFE1E1E1"/>
        <bgColor rgb="FFE1E1E1"/>
      </patternFill>
    </fill>
    <fill>
      <patternFill patternType="solid">
        <fgColor rgb="FF5484ED"/>
        <bgColor rgb="FF5484ED"/>
      </patternFill>
    </fill>
    <fill>
      <patternFill patternType="solid">
        <fgColor rgb="FF51B749"/>
        <bgColor rgb="FF51B749"/>
      </patternFill>
    </fill>
    <fill>
      <patternFill patternType="solid">
        <fgColor rgb="FFDC2127"/>
        <bgColor rgb="FFDC2127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  <xf borderId="0" fillId="4" fontId="5" numFmtId="0" xfId="0" applyAlignment="1" applyFill="1" applyFont="1">
      <alignment readingOrder="0"/>
    </xf>
    <xf borderId="0" fillId="4" fontId="2" numFmtId="0" xfId="0" applyFont="1"/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5" fontId="2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0" fillId="0" fontId="7" numFmtId="0" xfId="0" applyFont="1"/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0" fontId="2" numFmtId="4" xfId="0" applyFont="1" applyNumberFormat="1"/>
    <xf borderId="0" fillId="8" fontId="2" numFmtId="0" xfId="0" applyAlignment="1" applyFill="1" applyFont="1">
      <alignment horizontal="center" readingOrder="0"/>
    </xf>
    <xf quotePrefix="1" borderId="0" fillId="0" fontId="2" numFmtId="0" xfId="0" applyAlignment="1" applyFont="1">
      <alignment readingOrder="0"/>
    </xf>
    <xf borderId="0" fillId="9" fontId="2" numFmtId="0" xfId="0" applyAlignment="1" applyFill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0" fillId="11" fontId="2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readingOrder="0"/>
    </xf>
    <xf borderId="0" fillId="13" fontId="2" numFmtId="0" xfId="0" applyAlignment="1" applyFill="1" applyFont="1">
      <alignment horizontal="center" readingOrder="0"/>
    </xf>
    <xf borderId="0" fillId="14" fontId="2" numFmtId="0" xfId="0" applyAlignment="1" applyFill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Font="1" applyNumberForma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46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1" numFmtId="168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6" xfId="0" applyFont="1" applyNumberFormat="1"/>
    <xf borderId="0" fillId="0" fontId="2" numFmtId="169" xfId="0" applyFont="1" applyNumberFormat="1"/>
    <xf borderId="0" fillId="0" fontId="2" numFmtId="170" xfId="0" applyFont="1" applyNumberFormat="1"/>
    <xf borderId="0" fillId="0" fontId="2" numFmtId="14" xfId="0" applyFont="1" applyNumberFormat="1"/>
    <xf borderId="0" fillId="0" fontId="2" numFmtId="171" xfId="0" applyFont="1" applyNumberFormat="1"/>
    <xf borderId="0" fillId="0" fontId="1" numFmtId="2" xfId="0" applyFont="1" applyNumberFormat="1"/>
    <xf borderId="0" fillId="15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0" fillId="0" fontId="2" numFmtId="9" xfId="0" applyFont="1" applyNumberFormat="1"/>
    <xf borderId="0" fillId="19" fontId="1" numFmtId="0" xfId="0" applyAlignment="1" applyFill="1" applyFont="1">
      <alignment horizontal="center" readingOrder="0"/>
    </xf>
    <xf borderId="0" fillId="0" fontId="2" numFmtId="2" xfId="0" applyFont="1" applyNumberFormat="1"/>
    <xf borderId="0" fillId="0" fontId="2" numFmtId="171" xfId="0" applyAlignment="1" applyFont="1" applyNumberFormat="1">
      <alignment readingOrder="0"/>
    </xf>
    <xf borderId="0" fillId="0" fontId="2" numFmtId="172" xfId="0" applyAlignment="1" applyFont="1" applyNumberFormat="1">
      <alignment readingOrder="0"/>
    </xf>
    <xf borderId="0" fillId="0" fontId="2" numFmtId="173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6D9EEB"/>
          <bgColor rgb="FF6D9EE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chartsheet" Target="chartsheets/sheet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Running Billable to Target %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'Allocation Summary'!$AM$1:$AM$2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Summary'!$AM$3:$AM$14</c:f>
              <c:numCache/>
            </c:numRef>
          </c:val>
          <c:smooth val="0"/>
        </c:ser>
        <c:ser>
          <c:idx val="1"/>
          <c:order val="1"/>
          <c:tx>
            <c:strRef>
              <c:f>'Allocation Summary'!$AN$1:$AN$2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Summary'!$AN$3:$AN$14</c:f>
              <c:numCache/>
            </c:numRef>
          </c:val>
          <c:smooth val="0"/>
        </c:ser>
        <c:ser>
          <c:idx val="2"/>
          <c:order val="2"/>
          <c:tx>
            <c:strRef>
              <c:f>'Allocation Summary'!$AO$1:$AO$2</c:f>
            </c:strRef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Summary'!$AO$3:$AO$14</c:f>
              <c:numCache/>
            </c:numRef>
          </c:val>
          <c:smooth val="0"/>
        </c:ser>
        <c:ser>
          <c:idx val="3"/>
          <c:order val="3"/>
          <c:tx>
            <c:strRef>
              <c:f>'Allocation Summary'!$AP$1:$AP$2</c:f>
            </c:strRef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Summary'!$AP$3:$AP$14</c:f>
              <c:numCache/>
            </c:numRef>
          </c:val>
          <c:smooth val="0"/>
        </c:ser>
        <c:ser>
          <c:idx val="4"/>
          <c:order val="4"/>
          <c:tx>
            <c:strRef>
              <c:f>'Allocation Summary'!$AQ$1:$AQ$2</c:f>
            </c:strRef>
          </c:tx>
          <c:spPr>
            <a:ln cmpd="sng" w="9525">
              <a:solidFill>
                <a:srgbClr val="00000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Summary'!$AQ$3:$AQ$14</c:f>
              <c:numCache/>
            </c:numRef>
          </c:val>
          <c:smooth val="0"/>
        </c:ser>
        <c:ser>
          <c:idx val="5"/>
          <c:order val="5"/>
          <c:tx>
            <c:strRef>
              <c:f>'Allocation Summary'!$AR$1:$AR$2</c:f>
            </c:strRef>
          </c:tx>
          <c:spPr>
            <a:ln cmpd="sng" w="9525">
              <a:solidFill>
                <a:srgbClr val="000000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strRef>
              <c:f>'Allocation Summary'!$AL$3:$AL$14</c:f>
            </c:strRef>
          </c:cat>
          <c:val>
            <c:numRef>
              <c:f>'Allocation Summary'!$AR$3:$AR$14</c:f>
              <c:numCache/>
            </c:numRef>
          </c:val>
          <c:smooth val="0"/>
        </c:ser>
        <c:ser>
          <c:idx val="6"/>
          <c:order val="6"/>
          <c:tx>
            <c:strRef>
              <c:f>'Allocation Summary'!$AS$1:$AS$2</c:f>
            </c:strRef>
          </c:tx>
          <c:spPr>
            <a:ln cmpd="sng" w="19050">
              <a:solidFill>
                <a:srgbClr val="0000FF">
                  <a:alpha val="100000"/>
                </a:srgbClr>
              </a:solidFill>
              <a:prstDash val="dash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'Allocation Summary'!$AL$3:$AL$14</c:f>
            </c:strRef>
          </c:cat>
          <c:val>
            <c:numRef>
              <c:f>'Allocation Summary'!$AS$3:$AS$14</c:f>
              <c:numCache/>
            </c:numRef>
          </c:val>
          <c:smooth val="0"/>
        </c:ser>
        <c:axId val="1936639636"/>
        <c:axId val="1116403320"/>
      </c:lineChart>
      <c:catAx>
        <c:axId val="1936639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403320"/>
      </c:catAx>
      <c:valAx>
        <c:axId val="11164033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6396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ocumenttasks/documenttask1.xml><?xml version="1.0" encoding="utf-8"?>
<Tasks xmlns="http://schemas.microsoft.com/office/tasks/2019/documenttasks"/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>
  <x18tc:person displayName="Phil Perrin" id="{355f9bb1-62a3-4721-ac3d-d9979f469e8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08T05:25:26.00" personId="{355f9bb1-62a3-4721-ac3d-d9979f469e82}" id="{9b262c6e-7100-4f23-ab15-827892775996}" done="0">
    <x18tc:text xml:space="preserve">REQUIRED!!!</x18tc:text>
  </x18tc:threadedComment>
  <x18tc:threadedComment ref="A1" dT="2026-06-22T17:44:19.00" personId="{355f9bb1-62a3-4721-ac3d-d9979f469e82}" id="{3e4cffd5-85f3-4ce0-b9fc-5eb72f7eecfa}" done="0">
    <x18tc:text xml:space="preserve">This needs to match what is in Sigma: https://app.sigmacomputing.com/phdata/workbook/MS-Timesheet-Report-tiFskBTCLtCJCiAvoO18i?:nodeId=rmH41byfBv
Need to separate partial weeks into respective months.</x18tc:text>
    <x18tc:extLst>
      <ext uri="{F7C98A9C-CBB3-438F-8F68-D28B6AF4A901}">
        <xltc2:checksum/>
        <xltc2:hyperlink startIndex="38" length="107" url="https://app.sigmacomputing.com/phdata/workbook/MS-Timesheet-Report-tiFskBTCLtCJCiAvoO18i?:nodeId=rmH41byfBv"/>
      </ext>
    </x18tc:extLst>
  </x18tc:threadedComment>
  <x18tc:threadedComment ref="A1" dT="2026-01-08T05:25:15.00" personId="{355f9bb1-62a3-4721-ac3d-d9979f469e82}" id="{56113832-4589-42b9-90eb-a87778c78f1d}" done="0">
    <x18tc:text xml:space="preserve">REQUIRED!!!</x18tc:text>
  </x18tc:threadedComment>
  <x18tc:threadedComment ref="A1" dT="2026-01-08T05:25:35.00" personId="{355f9bb1-62a3-4721-ac3d-d9979f469e82}" id="{7ce897d6-6d37-4648-9052-5d6f06bed642}" done="0">
    <x18tc:text xml:space="preserve">REQUIRED!!!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github.com/philperrin/jira_time_google" TargetMode="External"/><Relationship Id="rId5" Type="http://schemas.openxmlformats.org/officeDocument/2006/relationships/hyperlink" Target="https://id.atlassian.com/manage-profile/security/api-tokens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hdata.atlassian.net/jira/software/c/projects/WMEPO/summary" TargetMode="External"/><Relationship Id="rId2" Type="http://schemas.openxmlformats.org/officeDocument/2006/relationships/hyperlink" Target="https://phdata.atlassian.net/jira/software/c/projects/EEHTSM/summary" TargetMode="External"/><Relationship Id="rId3" Type="http://schemas.openxmlformats.org/officeDocument/2006/relationships/hyperlink" Target="https://phdata.atlassian.net/jira/software/c/projects/MP/summary" TargetMode="External"/><Relationship Id="rId4" Type="http://schemas.openxmlformats.org/officeDocument/2006/relationships/hyperlink" Target="https://phdata.atlassian.net/jira/software/c/projects/CEOT/summary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</row>
    <row r="2">
      <c r="A2" s="4" t="s">
        <v>12</v>
      </c>
    </row>
    <row r="3">
      <c r="A3" s="7" t="s">
        <v>14</v>
      </c>
    </row>
    <row r="4">
      <c r="A4" s="4"/>
    </row>
    <row r="5">
      <c r="A5" s="9" t="s">
        <v>27</v>
      </c>
      <c r="B5" s="10"/>
      <c r="C5" s="10"/>
      <c r="D5" s="10"/>
      <c r="E5" s="10"/>
      <c r="F5" s="10"/>
      <c r="G5" s="10"/>
      <c r="H5" s="10"/>
    </row>
    <row r="6">
      <c r="A6" s="4" t="s">
        <v>33</v>
      </c>
    </row>
    <row r="7">
      <c r="A7" s="4" t="s">
        <v>34</v>
      </c>
    </row>
    <row r="8">
      <c r="A8" s="4" t="s">
        <v>35</v>
      </c>
    </row>
    <row r="10">
      <c r="A10" s="4" t="s">
        <v>36</v>
      </c>
    </row>
    <row r="11">
      <c r="A11" s="4" t="s">
        <v>37</v>
      </c>
    </row>
    <row r="12">
      <c r="A12" s="4" t="s">
        <v>39</v>
      </c>
    </row>
    <row r="13">
      <c r="A13" s="4" t="s">
        <v>40</v>
      </c>
    </row>
    <row r="14">
      <c r="A14" s="4" t="s">
        <v>42</v>
      </c>
    </row>
    <row r="15">
      <c r="A15" s="4"/>
    </row>
    <row r="16">
      <c r="A16" s="4" t="s">
        <v>45</v>
      </c>
    </row>
    <row r="17">
      <c r="A17" s="4"/>
    </row>
    <row r="18">
      <c r="A18" s="4" t="s">
        <v>47</v>
      </c>
    </row>
    <row r="19">
      <c r="A19" s="4" t="s">
        <v>49</v>
      </c>
    </row>
    <row r="20">
      <c r="A20" s="4"/>
    </row>
    <row r="21">
      <c r="A21" s="9" t="s">
        <v>51</v>
      </c>
    </row>
    <row r="22">
      <c r="A22" s="17" t="s">
        <v>52</v>
      </c>
      <c r="B22" s="18"/>
      <c r="C22" s="18"/>
      <c r="D22" s="18"/>
      <c r="E22" s="18"/>
      <c r="F22" s="18"/>
      <c r="G22" s="18"/>
      <c r="H22" s="18"/>
    </row>
    <row r="23">
      <c r="A23" s="4" t="s">
        <v>59</v>
      </c>
    </row>
    <row r="24">
      <c r="A24" s="7" t="s">
        <v>60</v>
      </c>
    </row>
    <row r="26">
      <c r="A26" s="4" t="s">
        <v>72</v>
      </c>
    </row>
    <row r="27">
      <c r="A27" s="4" t="s">
        <v>73</v>
      </c>
    </row>
    <row r="29">
      <c r="A29" s="9" t="s">
        <v>75</v>
      </c>
    </row>
    <row r="30">
      <c r="A30" s="17" t="s">
        <v>79</v>
      </c>
      <c r="B30" s="18"/>
      <c r="C30" s="18"/>
      <c r="D30" s="18"/>
      <c r="E30" s="18"/>
      <c r="F30" s="18"/>
      <c r="G30" s="18"/>
      <c r="H30" s="18"/>
    </row>
    <row r="31">
      <c r="A31" s="4" t="s">
        <v>81</v>
      </c>
    </row>
    <row r="33">
      <c r="A33" s="17" t="s">
        <v>82</v>
      </c>
      <c r="B33" s="18"/>
      <c r="C33" s="18"/>
      <c r="D33" s="18"/>
      <c r="E33" s="18"/>
      <c r="F33" s="18"/>
      <c r="G33" s="18"/>
      <c r="H33" s="18"/>
    </row>
    <row r="34">
      <c r="A34" s="4" t="s">
        <v>87</v>
      </c>
    </row>
    <row r="35">
      <c r="A35" s="4" t="s">
        <v>89</v>
      </c>
    </row>
    <row r="36">
      <c r="A36" s="24" t="s">
        <v>91</v>
      </c>
    </row>
    <row r="37">
      <c r="A37" s="24" t="s">
        <v>96</v>
      </c>
    </row>
    <row r="38">
      <c r="A38" s="24" t="s">
        <v>98</v>
      </c>
    </row>
    <row r="39">
      <c r="A39" s="24" t="s">
        <v>101</v>
      </c>
    </row>
    <row r="40">
      <c r="A40" s="24" t="s">
        <v>102</v>
      </c>
    </row>
    <row r="41">
      <c r="A41" s="24" t="s">
        <v>103</v>
      </c>
    </row>
    <row r="42">
      <c r="A42" s="24" t="s">
        <v>105</v>
      </c>
    </row>
    <row r="43">
      <c r="A43" s="24" t="s">
        <v>107</v>
      </c>
    </row>
    <row r="44">
      <c r="A44" s="24" t="s">
        <v>108</v>
      </c>
    </row>
  </sheetData>
  <mergeCells count="3">
    <mergeCell ref="A1:H1"/>
    <mergeCell ref="A21:H21"/>
    <mergeCell ref="A29:H29"/>
  </mergeCells>
  <hyperlinks>
    <hyperlink r:id="rId4" ref="A3"/>
    <hyperlink r:id="rId5" ref="A24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7.63"/>
    <col customWidth="1" min="3" max="3" width="20.5"/>
    <col customWidth="1" min="4" max="4" width="24.63"/>
    <col customWidth="1" min="5" max="5" width="11.25"/>
    <col customWidth="1" min="6" max="6" width="52.25"/>
    <col customWidth="1" min="7" max="7" width="12.88"/>
  </cols>
  <sheetData>
    <row r="1">
      <c r="A1" s="1" t="s">
        <v>2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>
      <c r="A2" s="5">
        <v>1.0</v>
      </c>
      <c r="D2" s="4"/>
      <c r="E2" s="4"/>
      <c r="F2" s="15" t="str">
        <f t="array" ref="F2:F16">if(len(C2:C16)&gt;0,"https://phdata.atlassian.net/jira/software/c/projects/"&amp;B2:B16&amp;"/summary","")</f>
        <v/>
      </c>
      <c r="G2" s="4" t="s">
        <v>50</v>
      </c>
    </row>
    <row r="3">
      <c r="A3" s="16">
        <v>2.0</v>
      </c>
      <c r="B3" s="4" t="s">
        <v>53</v>
      </c>
      <c r="C3" s="4" t="s">
        <v>53</v>
      </c>
      <c r="D3" s="4" t="s">
        <v>55</v>
      </c>
      <c r="E3" s="4">
        <v>5.0</v>
      </c>
      <c r="F3" s="19" t="s">
        <v>57</v>
      </c>
      <c r="G3" s="4" t="s">
        <v>68</v>
      </c>
    </row>
    <row r="4">
      <c r="A4" s="20">
        <v>3.0</v>
      </c>
      <c r="B4" s="4" t="s">
        <v>71</v>
      </c>
      <c r="C4" s="4" t="s">
        <v>74</v>
      </c>
      <c r="D4" s="4" t="s">
        <v>74</v>
      </c>
      <c r="E4" s="4">
        <v>15.0</v>
      </c>
      <c r="F4" s="19" t="s">
        <v>77</v>
      </c>
      <c r="G4" s="4" t="s">
        <v>85</v>
      </c>
    </row>
    <row r="5">
      <c r="A5" s="21">
        <v>4.0</v>
      </c>
      <c r="D5" s="4"/>
      <c r="E5" s="4"/>
      <c r="F5" s="15" t="s">
        <v>86</v>
      </c>
      <c r="G5" s="4" t="s">
        <v>88</v>
      </c>
    </row>
    <row r="6">
      <c r="A6" s="23">
        <v>5.0</v>
      </c>
      <c r="B6" s="4" t="s">
        <v>93</v>
      </c>
      <c r="C6" s="4" t="s">
        <v>95</v>
      </c>
      <c r="D6" s="4" t="s">
        <v>97</v>
      </c>
      <c r="E6" s="4">
        <v>0.0</v>
      </c>
      <c r="F6" s="19" t="s">
        <v>99</v>
      </c>
      <c r="G6" s="4" t="s">
        <v>112</v>
      </c>
    </row>
    <row r="7">
      <c r="A7" s="25">
        <v>6.0</v>
      </c>
      <c r="B7" s="4" t="s">
        <v>38</v>
      </c>
      <c r="C7" s="4" t="s">
        <v>116</v>
      </c>
      <c r="D7" s="4" t="s">
        <v>44</v>
      </c>
      <c r="E7" s="4">
        <v>20.0</v>
      </c>
      <c r="F7" s="19" t="s">
        <v>118</v>
      </c>
      <c r="G7" s="4" t="s">
        <v>122</v>
      </c>
    </row>
    <row r="8">
      <c r="A8" s="26">
        <v>7.0</v>
      </c>
      <c r="D8" s="4"/>
      <c r="E8" s="4"/>
      <c r="F8" s="15" t="s">
        <v>86</v>
      </c>
      <c r="G8" s="4" t="s">
        <v>123</v>
      </c>
    </row>
    <row r="9">
      <c r="A9" s="27">
        <v>8.0</v>
      </c>
      <c r="B9" s="4" t="s">
        <v>125</v>
      </c>
      <c r="D9" s="4" t="s">
        <v>125</v>
      </c>
      <c r="E9" s="4"/>
      <c r="F9" s="15" t="s">
        <v>86</v>
      </c>
      <c r="G9" s="4" t="s">
        <v>127</v>
      </c>
    </row>
    <row r="10">
      <c r="A10" s="28">
        <v>9.0</v>
      </c>
      <c r="F10" s="15" t="s">
        <v>86</v>
      </c>
      <c r="G10" s="4" t="s">
        <v>129</v>
      </c>
    </row>
    <row r="11">
      <c r="A11" s="29">
        <v>10.0</v>
      </c>
      <c r="F11" s="15" t="s">
        <v>86</v>
      </c>
      <c r="G11" s="4" t="s">
        <v>132</v>
      </c>
    </row>
    <row r="12">
      <c r="A12" s="30">
        <v>11.0</v>
      </c>
      <c r="B12" s="4" t="s">
        <v>133</v>
      </c>
      <c r="D12" s="4" t="s">
        <v>133</v>
      </c>
      <c r="F12" s="15" t="s">
        <v>86</v>
      </c>
      <c r="G12" s="4" t="s">
        <v>135</v>
      </c>
    </row>
    <row r="13">
      <c r="F13" s="15" t="s">
        <v>86</v>
      </c>
    </row>
    <row r="14">
      <c r="F14" s="15" t="s">
        <v>86</v>
      </c>
    </row>
    <row r="15">
      <c r="F15" s="15" t="s">
        <v>86</v>
      </c>
    </row>
    <row r="16">
      <c r="F16" s="15" t="s">
        <v>86</v>
      </c>
    </row>
  </sheetData>
  <autoFilter ref="$A$1:$G$12"/>
  <hyperlinks>
    <hyperlink r:id="rId1" ref="F3"/>
    <hyperlink r:id="rId2" ref="F4"/>
    <hyperlink r:id="rId3" ref="F6"/>
    <hyperlink r:id="rId4" ref="F7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2.63"/>
    <col customWidth="1" min="3" max="4" width="9.38"/>
    <col customWidth="1" min="5" max="5" width="36.38"/>
    <col customWidth="1" min="6" max="7" width="24.5"/>
    <col customWidth="1" min="8" max="8" width="13.13"/>
  </cols>
  <sheetData>
    <row r="1">
      <c r="A1" s="4" t="s">
        <v>5</v>
      </c>
      <c r="B1" s="4" t="s">
        <v>13</v>
      </c>
      <c r="C1" s="4" t="s">
        <v>15</v>
      </c>
      <c r="D1" s="4" t="s">
        <v>16</v>
      </c>
      <c r="E1" s="4" t="s">
        <v>17</v>
      </c>
      <c r="F1" s="4" t="s">
        <v>19</v>
      </c>
      <c r="G1" s="4" t="s">
        <v>21</v>
      </c>
      <c r="H1" s="4" t="s">
        <v>23</v>
      </c>
      <c r="I1" s="4" t="s">
        <v>25</v>
      </c>
      <c r="J1" s="8"/>
    </row>
    <row r="2">
      <c r="A2" s="4" t="s">
        <v>30</v>
      </c>
      <c r="B2" s="4" t="s">
        <v>31</v>
      </c>
      <c r="C2" s="13" t="str">
        <f>HYPERLINK("https://phdata.atlassian.net/browse/CEOT-1","CEOT-1")</f>
        <v>CEOT-1</v>
      </c>
      <c r="D2" s="4" t="s">
        <v>38</v>
      </c>
      <c r="E2" s="4" t="s">
        <v>41</v>
      </c>
      <c r="F2" s="4" t="s">
        <v>43</v>
      </c>
      <c r="G2" s="4" t="s">
        <v>44</v>
      </c>
      <c r="H2" s="14">
        <v>47.25</v>
      </c>
      <c r="J2" s="8"/>
    </row>
    <row r="3">
      <c r="A3" s="4" t="s">
        <v>46</v>
      </c>
      <c r="B3" s="4" t="s">
        <v>48</v>
      </c>
      <c r="C3" s="13" t="str">
        <f>HYPERLINK("https://phdata.atlassian.net/browse/CEOT-6","CEOT-6")</f>
        <v>CEOT-6</v>
      </c>
      <c r="D3" s="4" t="s">
        <v>38</v>
      </c>
      <c r="E3" s="4" t="s">
        <v>54</v>
      </c>
      <c r="F3" s="4" t="s">
        <v>43</v>
      </c>
      <c r="G3" s="4" t="s">
        <v>44</v>
      </c>
      <c r="H3" s="14">
        <v>38.25</v>
      </c>
      <c r="J3" s="8"/>
    </row>
    <row r="4">
      <c r="A4" s="4" t="s">
        <v>56</v>
      </c>
      <c r="B4" s="4" t="s">
        <v>58</v>
      </c>
      <c r="C4" s="13" t="str">
        <f>HYPERLINK("https://phdata.atlassian.net/browse/CEOT-9","CEOT-9")</f>
        <v>CEOT-9</v>
      </c>
      <c r="D4" s="4" t="s">
        <v>38</v>
      </c>
      <c r="E4" s="4" t="s">
        <v>61</v>
      </c>
      <c r="F4" s="4" t="s">
        <v>43</v>
      </c>
      <c r="G4" s="4" t="s">
        <v>44</v>
      </c>
      <c r="H4" s="14">
        <v>65.25</v>
      </c>
      <c r="J4" s="8"/>
    </row>
    <row r="5">
      <c r="A5" s="4" t="s">
        <v>62</v>
      </c>
      <c r="B5" s="4" t="s">
        <v>63</v>
      </c>
      <c r="C5" s="13" t="str">
        <f>HYPERLINK("https://phdata.atlassian.net/browse/CEOT-622","CEOT-622")</f>
        <v>CEOT-622</v>
      </c>
      <c r="D5" s="4" t="s">
        <v>38</v>
      </c>
      <c r="E5" s="4" t="s">
        <v>64</v>
      </c>
      <c r="F5" s="4" t="s">
        <v>65</v>
      </c>
      <c r="G5" s="4" t="s">
        <v>44</v>
      </c>
      <c r="H5" s="14">
        <v>67.5</v>
      </c>
      <c r="I5" s="8"/>
      <c r="J5" s="8"/>
    </row>
    <row r="6">
      <c r="A6" s="4" t="s">
        <v>66</v>
      </c>
      <c r="B6" s="4" t="s">
        <v>67</v>
      </c>
      <c r="C6" s="13" t="str">
        <f>HYPERLINK("https://phdata.atlassian.net/browse/CEOT-623","CEOT-623")</f>
        <v>CEOT-623</v>
      </c>
      <c r="D6" s="4" t="s">
        <v>38</v>
      </c>
      <c r="E6" s="4" t="s">
        <v>69</v>
      </c>
      <c r="F6" s="4" t="s">
        <v>70</v>
      </c>
      <c r="G6" s="4" t="s">
        <v>44</v>
      </c>
      <c r="H6" s="14">
        <v>2.0</v>
      </c>
      <c r="I6" s="8"/>
      <c r="J6" s="8"/>
    </row>
    <row r="7">
      <c r="A7" s="4" t="s">
        <v>76</v>
      </c>
      <c r="B7" s="4" t="s">
        <v>78</v>
      </c>
      <c r="C7" s="13" t="str">
        <f>HYPERLINK("https://phdata.atlassian.net/browse/CEOT-624","CEOT-624")</f>
        <v>CEOT-624</v>
      </c>
      <c r="D7" s="4" t="s">
        <v>38</v>
      </c>
      <c r="E7" s="4" t="s">
        <v>80</v>
      </c>
      <c r="F7" s="4" t="s">
        <v>70</v>
      </c>
      <c r="G7" s="4" t="s">
        <v>44</v>
      </c>
      <c r="H7" s="14">
        <v>1.25</v>
      </c>
      <c r="I7" s="8"/>
      <c r="J7" s="8"/>
    </row>
    <row r="8">
      <c r="A8" s="4" t="s">
        <v>83</v>
      </c>
      <c r="B8" s="4" t="s">
        <v>84</v>
      </c>
      <c r="C8" s="13" t="str">
        <f>HYPERLINK("https://phdata.atlassian.net/browse/CEOT-625","CEOT-625")</f>
        <v>CEOT-625</v>
      </c>
      <c r="D8" s="4" t="s">
        <v>38</v>
      </c>
      <c r="E8" s="4" t="s">
        <v>90</v>
      </c>
      <c r="F8" s="4" t="s">
        <v>70</v>
      </c>
      <c r="G8" s="4" t="s">
        <v>44</v>
      </c>
      <c r="H8" s="14">
        <v>1.0</v>
      </c>
      <c r="I8" s="8"/>
      <c r="J8" s="8"/>
    </row>
    <row r="9">
      <c r="A9" s="4" t="s">
        <v>92</v>
      </c>
      <c r="B9" s="4" t="s">
        <v>94</v>
      </c>
      <c r="C9" s="13" t="str">
        <f>HYPERLINK("https://phdata.atlassian.net/browse/CEOT-626","CEOT-626")</f>
        <v>CEOT-626</v>
      </c>
      <c r="D9" s="4" t="s">
        <v>38</v>
      </c>
      <c r="E9" s="4" t="s">
        <v>100</v>
      </c>
      <c r="F9" s="4" t="s">
        <v>70</v>
      </c>
      <c r="G9" s="4" t="s">
        <v>44</v>
      </c>
      <c r="H9" s="14">
        <v>0.0</v>
      </c>
      <c r="I9" s="8"/>
      <c r="J9" s="8"/>
    </row>
    <row r="10">
      <c r="A10" s="4" t="s">
        <v>104</v>
      </c>
      <c r="B10" s="4" t="s">
        <v>106</v>
      </c>
      <c r="C10" s="13" t="str">
        <f>HYPERLINK("https://phdata.atlassian.net/browse/CEOT-627","CEOT-627")</f>
        <v>CEOT-627</v>
      </c>
      <c r="D10" s="4" t="s">
        <v>38</v>
      </c>
      <c r="E10" s="4" t="s">
        <v>109</v>
      </c>
      <c r="F10" s="4" t="s">
        <v>70</v>
      </c>
      <c r="G10" s="4" t="s">
        <v>44</v>
      </c>
      <c r="H10" s="14">
        <v>12.0</v>
      </c>
      <c r="I10" s="8"/>
      <c r="J10" s="8"/>
    </row>
    <row r="11">
      <c r="A11" s="4" t="s">
        <v>110</v>
      </c>
      <c r="B11" s="4" t="s">
        <v>111</v>
      </c>
      <c r="C11" s="13" t="str">
        <f>HYPERLINK("https://phdata.atlassian.net/browse/CEOT-636","CEOT-636")</f>
        <v>CEOT-636</v>
      </c>
      <c r="D11" s="4" t="s">
        <v>38</v>
      </c>
      <c r="E11" s="4" t="s">
        <v>113</v>
      </c>
      <c r="F11" s="4" t="s">
        <v>65</v>
      </c>
      <c r="G11" s="4" t="s">
        <v>44</v>
      </c>
      <c r="H11" s="14">
        <v>0.0</v>
      </c>
      <c r="I11" s="8"/>
      <c r="J11" s="8"/>
    </row>
    <row r="12">
      <c r="A12" s="4" t="s">
        <v>114</v>
      </c>
      <c r="B12" s="4" t="s">
        <v>115</v>
      </c>
      <c r="C12" s="13" t="str">
        <f>HYPERLINK("https://phdata.atlassian.net/browse/CEOT-700","CEOT-700")</f>
        <v>CEOT-700</v>
      </c>
      <c r="D12" s="4" t="s">
        <v>38</v>
      </c>
      <c r="E12" s="4" t="s">
        <v>117</v>
      </c>
      <c r="F12" s="4" t="s">
        <v>65</v>
      </c>
      <c r="G12" s="4" t="s">
        <v>44</v>
      </c>
      <c r="H12" s="14">
        <v>20.25</v>
      </c>
      <c r="I12" s="8"/>
      <c r="J12" s="8"/>
    </row>
    <row r="13">
      <c r="A13" s="4" t="s">
        <v>119</v>
      </c>
      <c r="B13" s="4" t="s">
        <v>120</v>
      </c>
      <c r="C13" s="13" t="str">
        <f>HYPERLINK("https://phdata.atlassian.net/browse/CEOT-701","CEOT-701")</f>
        <v>CEOT-701</v>
      </c>
      <c r="D13" s="4" t="s">
        <v>38</v>
      </c>
      <c r="E13" s="4" t="s">
        <v>121</v>
      </c>
      <c r="F13" s="4" t="s">
        <v>70</v>
      </c>
      <c r="G13" s="4" t="s">
        <v>44</v>
      </c>
      <c r="H13" s="14">
        <v>3.5</v>
      </c>
      <c r="I13" s="8"/>
      <c r="J13" s="8"/>
    </row>
    <row r="14">
      <c r="A14" s="4" t="s">
        <v>124</v>
      </c>
      <c r="B14" s="4" t="s">
        <v>126</v>
      </c>
      <c r="C14" s="13" t="str">
        <f>HYPERLINK("https://phdata.atlassian.net/browse/CEOT-822","CEOT-822")</f>
        <v>CEOT-822</v>
      </c>
      <c r="D14" s="4" t="s">
        <v>38</v>
      </c>
      <c r="E14" s="4" t="s">
        <v>128</v>
      </c>
      <c r="F14" s="4" t="s">
        <v>70</v>
      </c>
      <c r="G14" s="4" t="s">
        <v>44</v>
      </c>
      <c r="H14" s="14">
        <v>20.0</v>
      </c>
      <c r="I14" s="8"/>
      <c r="J14" s="8"/>
    </row>
    <row r="15">
      <c r="A15" s="4" t="s">
        <v>130</v>
      </c>
      <c r="B15" s="4" t="s">
        <v>131</v>
      </c>
      <c r="C15" s="13" t="str">
        <f>HYPERLINK("https://phdata.atlassian.net/browse/CEOT-823","CEOT-823")</f>
        <v>CEOT-823</v>
      </c>
      <c r="D15" s="4" t="s">
        <v>38</v>
      </c>
      <c r="E15" s="4" t="s">
        <v>134</v>
      </c>
      <c r="F15" s="4" t="s">
        <v>65</v>
      </c>
      <c r="G15" s="4" t="s">
        <v>44</v>
      </c>
      <c r="H15" s="14">
        <v>4.25</v>
      </c>
      <c r="I15" s="8"/>
      <c r="J15" s="8"/>
    </row>
    <row r="16">
      <c r="A16" s="4" t="s">
        <v>136</v>
      </c>
      <c r="B16" s="4" t="s">
        <v>137</v>
      </c>
      <c r="C16" s="13" t="str">
        <f>HYPERLINK("https://phdata.atlassian.net/browse/CEOT-824","CEOT-824")</f>
        <v>CEOT-824</v>
      </c>
      <c r="D16" s="4" t="s">
        <v>38</v>
      </c>
      <c r="E16" s="4" t="s">
        <v>138</v>
      </c>
      <c r="F16" s="4" t="s">
        <v>70</v>
      </c>
      <c r="G16" s="4" t="s">
        <v>44</v>
      </c>
      <c r="H16" s="14">
        <v>4.0</v>
      </c>
      <c r="I16" s="8"/>
      <c r="J16" s="8"/>
    </row>
    <row r="17">
      <c r="A17" s="4" t="s">
        <v>139</v>
      </c>
      <c r="B17" s="4" t="s">
        <v>140</v>
      </c>
      <c r="C17" s="13" t="str">
        <f>HYPERLINK("https://phdata.atlassian.net/browse/CEOT-825","CEOT-825")</f>
        <v>CEOT-825</v>
      </c>
      <c r="D17" s="4" t="s">
        <v>38</v>
      </c>
      <c r="E17" s="4" t="s">
        <v>141</v>
      </c>
      <c r="F17" s="4" t="s">
        <v>65</v>
      </c>
      <c r="G17" s="4" t="s">
        <v>44</v>
      </c>
      <c r="H17" s="14">
        <v>4.5</v>
      </c>
      <c r="I17" s="8"/>
      <c r="J17" s="8"/>
    </row>
    <row r="18">
      <c r="A18" s="4" t="s">
        <v>142</v>
      </c>
      <c r="B18" s="4" t="s">
        <v>143</v>
      </c>
      <c r="C18" s="13" t="str">
        <f>HYPERLINK("https://phdata.atlassian.net/browse/CEOT-831","CEOT-831")</f>
        <v>CEOT-831</v>
      </c>
      <c r="D18" s="4" t="s">
        <v>38</v>
      </c>
      <c r="E18" s="4" t="s">
        <v>144</v>
      </c>
      <c r="F18" s="4" t="s">
        <v>145</v>
      </c>
      <c r="G18" s="4" t="s">
        <v>44</v>
      </c>
      <c r="H18" s="14">
        <v>6.0</v>
      </c>
      <c r="I18" s="8"/>
      <c r="J18" s="8"/>
    </row>
    <row r="19">
      <c r="A19" s="4" t="s">
        <v>147</v>
      </c>
      <c r="B19" s="4" t="s">
        <v>148</v>
      </c>
      <c r="C19" s="13" t="str">
        <f>HYPERLINK("https://phdata.atlassian.net/browse/JTTP-3","JTTP-3")</f>
        <v>JTTP-3</v>
      </c>
      <c r="D19" s="4" t="s">
        <v>150</v>
      </c>
      <c r="E19" s="4" t="s">
        <v>151</v>
      </c>
      <c r="F19" s="4" t="s">
        <v>152</v>
      </c>
      <c r="G19" s="4" t="s">
        <v>153</v>
      </c>
      <c r="H19" s="14">
        <v>0.0</v>
      </c>
      <c r="J19" s="8"/>
    </row>
    <row r="20">
      <c r="A20" s="4" t="s">
        <v>154</v>
      </c>
      <c r="B20" s="4" t="s">
        <v>155</v>
      </c>
      <c r="C20" s="13" t="str">
        <f>HYPERLINK("https://phdata.atlassian.net/browse/JTTP-4","JTTP-4")</f>
        <v>JTTP-4</v>
      </c>
      <c r="D20" s="4" t="s">
        <v>150</v>
      </c>
      <c r="E20" s="4" t="s">
        <v>156</v>
      </c>
      <c r="F20" s="4" t="s">
        <v>152</v>
      </c>
      <c r="G20" s="4" t="s">
        <v>153</v>
      </c>
      <c r="H20" s="14">
        <v>0.0</v>
      </c>
      <c r="J20" s="8"/>
    </row>
    <row r="21">
      <c r="A21" s="4" t="s">
        <v>157</v>
      </c>
      <c r="B21" s="4" t="s">
        <v>158</v>
      </c>
      <c r="C21" s="13" t="str">
        <f>HYPERLINK("https://phdata.atlassian.net/browse/JTTP-6","JTTP-6")</f>
        <v>JTTP-6</v>
      </c>
      <c r="D21" s="4" t="s">
        <v>150</v>
      </c>
      <c r="E21" s="4" t="s">
        <v>159</v>
      </c>
      <c r="F21" s="4" t="s">
        <v>152</v>
      </c>
      <c r="G21" s="4" t="s">
        <v>153</v>
      </c>
      <c r="H21" s="14">
        <v>0.0</v>
      </c>
      <c r="J21" s="8"/>
    </row>
    <row r="22">
      <c r="A22" s="4" t="s">
        <v>160</v>
      </c>
      <c r="B22" s="4" t="s">
        <v>161</v>
      </c>
      <c r="C22" s="13" t="str">
        <f>HYPERLINK("https://phdata.atlassian.net/browse/JTTP-7","JTTP-7")</f>
        <v>JTTP-7</v>
      </c>
      <c r="D22" s="4" t="s">
        <v>150</v>
      </c>
      <c r="E22" s="4" t="s">
        <v>162</v>
      </c>
      <c r="F22" s="4" t="s">
        <v>152</v>
      </c>
      <c r="G22" s="4" t="s">
        <v>153</v>
      </c>
      <c r="H22" s="14">
        <v>0.0</v>
      </c>
      <c r="J22" s="8"/>
    </row>
    <row r="23">
      <c r="A23" s="4" t="s">
        <v>163</v>
      </c>
      <c r="B23" s="4" t="s">
        <v>164</v>
      </c>
      <c r="C23" s="13" t="str">
        <f>HYPERLINK("https://phdata.atlassian.net/browse/JTTP-8","JTTP-8")</f>
        <v>JTTP-8</v>
      </c>
      <c r="D23" s="4" t="s">
        <v>150</v>
      </c>
      <c r="E23" s="4" t="s">
        <v>165</v>
      </c>
      <c r="F23" s="4" t="s">
        <v>152</v>
      </c>
      <c r="G23" s="4" t="s">
        <v>153</v>
      </c>
      <c r="H23" s="14">
        <v>0.0</v>
      </c>
      <c r="J23" s="8"/>
    </row>
    <row r="24">
      <c r="A24" s="4" t="s">
        <v>166</v>
      </c>
      <c r="B24" s="4" t="s">
        <v>167</v>
      </c>
      <c r="C24" s="13" t="str">
        <f>HYPERLINK("https://phdata.atlassian.net/browse/JTTP-9","JTTP-9")</f>
        <v>JTTP-9</v>
      </c>
      <c r="D24" s="4" t="s">
        <v>150</v>
      </c>
      <c r="E24" s="4" t="s">
        <v>168</v>
      </c>
      <c r="F24" s="4" t="s">
        <v>152</v>
      </c>
      <c r="G24" s="4" t="s">
        <v>153</v>
      </c>
      <c r="H24" s="14">
        <v>0.0</v>
      </c>
      <c r="J24" s="8"/>
    </row>
    <row r="25">
      <c r="A25" s="4" t="s">
        <v>169</v>
      </c>
      <c r="B25" s="4" t="s">
        <v>170</v>
      </c>
      <c r="C25" s="13" t="str">
        <f>HYPERLINK("https://phdata.atlassian.net/browse/MP-152","MP-152")</f>
        <v>MP-152</v>
      </c>
      <c r="D25" s="4" t="s">
        <v>93</v>
      </c>
      <c r="E25" s="4" t="s">
        <v>171</v>
      </c>
      <c r="F25" s="4" t="s">
        <v>65</v>
      </c>
      <c r="G25" s="4" t="s">
        <v>97</v>
      </c>
      <c r="H25" s="14">
        <v>40.25</v>
      </c>
      <c r="J25" s="8"/>
    </row>
    <row r="26">
      <c r="A26" s="4" t="s">
        <v>172</v>
      </c>
      <c r="B26" s="4" t="s">
        <v>173</v>
      </c>
      <c r="C26" s="13" t="str">
        <f>HYPERLINK("https://phdata.atlassian.net/browse/MP-153","MP-153")</f>
        <v>MP-153</v>
      </c>
      <c r="D26" s="4" t="s">
        <v>93</v>
      </c>
      <c r="E26" s="4" t="s">
        <v>174</v>
      </c>
      <c r="F26" s="4" t="s">
        <v>65</v>
      </c>
      <c r="G26" s="4" t="s">
        <v>97</v>
      </c>
      <c r="H26" s="14">
        <v>43.5</v>
      </c>
      <c r="I26" s="8"/>
      <c r="J26" s="8"/>
    </row>
    <row r="27">
      <c r="A27" s="4" t="s">
        <v>175</v>
      </c>
      <c r="B27" s="4" t="s">
        <v>176</v>
      </c>
      <c r="C27" s="13" t="str">
        <f>HYPERLINK("https://phdata.atlassian.net/browse/MP-154","MP-154")</f>
        <v>MP-154</v>
      </c>
      <c r="D27" s="4" t="s">
        <v>93</v>
      </c>
      <c r="E27" s="4" t="s">
        <v>177</v>
      </c>
      <c r="F27" s="4" t="s">
        <v>65</v>
      </c>
      <c r="G27" s="4" t="s">
        <v>97</v>
      </c>
      <c r="H27" s="14">
        <v>19.25</v>
      </c>
      <c r="I27" s="8"/>
      <c r="J27" s="8"/>
    </row>
    <row r="28">
      <c r="A28" s="4" t="s">
        <v>178</v>
      </c>
      <c r="B28" s="4" t="s">
        <v>180</v>
      </c>
      <c r="C28" s="13" t="str">
        <f>HYPERLINK("https://phdata.atlassian.net/browse/MP-156","MP-156")</f>
        <v>MP-156</v>
      </c>
      <c r="D28" s="4" t="s">
        <v>93</v>
      </c>
      <c r="E28" s="4" t="s">
        <v>183</v>
      </c>
      <c r="F28" s="4" t="s">
        <v>65</v>
      </c>
      <c r="G28" s="4" t="s">
        <v>97</v>
      </c>
      <c r="H28" s="14">
        <v>7.0</v>
      </c>
      <c r="I28" s="8"/>
      <c r="J28" s="8"/>
    </row>
    <row r="29">
      <c r="A29" s="4" t="s">
        <v>185</v>
      </c>
      <c r="B29" s="4" t="s">
        <v>186</v>
      </c>
      <c r="C29" s="13" t="str">
        <f>HYPERLINK("https://phdata.atlassian.net/browse/MP-157","MP-157")</f>
        <v>MP-157</v>
      </c>
      <c r="D29" s="4" t="s">
        <v>93</v>
      </c>
      <c r="E29" s="4" t="s">
        <v>187</v>
      </c>
      <c r="F29" s="4" t="s">
        <v>65</v>
      </c>
      <c r="G29" s="4" t="s">
        <v>97</v>
      </c>
      <c r="H29" s="14">
        <v>4.0</v>
      </c>
      <c r="I29" s="8"/>
      <c r="J29" s="8"/>
    </row>
    <row r="30">
      <c r="A30" s="4" t="s">
        <v>188</v>
      </c>
      <c r="B30" s="4" t="s">
        <v>189</v>
      </c>
      <c r="C30" s="13" t="str">
        <f>HYPERLINK("https://phdata.atlassian.net/browse/MP-158","MP-158")</f>
        <v>MP-158</v>
      </c>
      <c r="D30" s="4" t="s">
        <v>93</v>
      </c>
      <c r="E30" s="4" t="s">
        <v>190</v>
      </c>
      <c r="F30" s="4" t="s">
        <v>65</v>
      </c>
      <c r="G30" s="4" t="s">
        <v>97</v>
      </c>
      <c r="H30" s="14">
        <v>45.25</v>
      </c>
      <c r="I30" s="8"/>
      <c r="J30" s="8"/>
    </row>
    <row r="31">
      <c r="A31" s="4" t="s">
        <v>191</v>
      </c>
      <c r="B31" s="4" t="s">
        <v>192</v>
      </c>
      <c r="C31" s="13" t="str">
        <f>HYPERLINK("https://phdata.atlassian.net/browse/MP-159","MP-159")</f>
        <v>MP-159</v>
      </c>
      <c r="D31" s="4" t="s">
        <v>93</v>
      </c>
      <c r="E31" s="4" t="s">
        <v>193</v>
      </c>
      <c r="F31" s="4" t="s">
        <v>65</v>
      </c>
      <c r="G31" s="4" t="s">
        <v>97</v>
      </c>
      <c r="H31" s="14">
        <v>15.0</v>
      </c>
      <c r="I31" s="8"/>
      <c r="J31" s="8"/>
    </row>
    <row r="32">
      <c r="A32" s="4" t="s">
        <v>195</v>
      </c>
      <c r="B32" s="4" t="s">
        <v>196</v>
      </c>
      <c r="C32" s="13" t="str">
        <f>HYPERLINK("https://phdata.atlassian.net/browse/MP-161","MP-161")</f>
        <v>MP-161</v>
      </c>
      <c r="D32" s="4" t="s">
        <v>93</v>
      </c>
      <c r="E32" s="4" t="s">
        <v>197</v>
      </c>
      <c r="F32" s="4" t="s">
        <v>65</v>
      </c>
      <c r="G32" s="4" t="s">
        <v>97</v>
      </c>
      <c r="H32" s="14">
        <v>130.5</v>
      </c>
      <c r="I32" s="8"/>
      <c r="J32" s="8"/>
    </row>
    <row r="33">
      <c r="A33" s="4" t="s">
        <v>198</v>
      </c>
      <c r="B33" s="4" t="s">
        <v>199</v>
      </c>
      <c r="C33" s="13" t="str">
        <f>HYPERLINK("https://phdata.atlassian.net/browse/MP-1055","MP-1055")</f>
        <v>MP-1055</v>
      </c>
      <c r="D33" s="4" t="s">
        <v>93</v>
      </c>
      <c r="E33" s="4" t="s">
        <v>200</v>
      </c>
      <c r="F33" s="4" t="s">
        <v>65</v>
      </c>
      <c r="G33" s="4" t="s">
        <v>97</v>
      </c>
      <c r="H33" s="14">
        <v>4.25</v>
      </c>
      <c r="I33" s="8"/>
      <c r="J33" s="8"/>
    </row>
    <row r="34">
      <c r="A34" s="4" t="s">
        <v>201</v>
      </c>
      <c r="B34" s="4" t="s">
        <v>202</v>
      </c>
      <c r="C34" s="13" t="str">
        <f>HYPERLINK("https://phdata.atlassian.net/browse/WMEPO-1444","WMEPO-1444")</f>
        <v>WMEPO-1444</v>
      </c>
      <c r="D34" s="4" t="s">
        <v>53</v>
      </c>
      <c r="E34" s="4" t="s">
        <v>203</v>
      </c>
      <c r="F34" s="4" t="s">
        <v>65</v>
      </c>
      <c r="G34" s="4" t="s">
        <v>55</v>
      </c>
      <c r="H34" s="14">
        <v>1.0</v>
      </c>
      <c r="I34" s="8"/>
      <c r="J34" s="8"/>
    </row>
    <row r="35">
      <c r="A35" s="4" t="s">
        <v>204</v>
      </c>
      <c r="B35" s="4" t="s">
        <v>205</v>
      </c>
      <c r="C35" s="13" t="str">
        <f>HYPERLINK("https://phdata.atlassian.net/browse/WMEPO-31819","WMEPO-31819")</f>
        <v>WMEPO-31819</v>
      </c>
      <c r="D35" s="4" t="s">
        <v>53</v>
      </c>
      <c r="E35" s="4" t="s">
        <v>206</v>
      </c>
      <c r="F35" s="4" t="s">
        <v>70</v>
      </c>
      <c r="G35" s="4" t="s">
        <v>55</v>
      </c>
      <c r="H35" s="14">
        <v>30.0</v>
      </c>
      <c r="I35" s="8"/>
      <c r="J35" s="8"/>
    </row>
    <row r="36">
      <c r="A36" s="4" t="s">
        <v>207</v>
      </c>
      <c r="B36" s="4" t="s">
        <v>208</v>
      </c>
      <c r="C36" s="13" t="str">
        <f>HYPERLINK("https://phdata.atlassian.net/browse/WMEPO-36006","WMEPO-36006")</f>
        <v>WMEPO-36006</v>
      </c>
      <c r="D36" s="4" t="s">
        <v>53</v>
      </c>
      <c r="E36" s="4" t="s">
        <v>209</v>
      </c>
      <c r="F36" s="4" t="s">
        <v>65</v>
      </c>
      <c r="G36" s="4" t="s">
        <v>55</v>
      </c>
      <c r="H36" s="14">
        <v>54.0</v>
      </c>
      <c r="I36" s="8"/>
      <c r="J36" s="8"/>
    </row>
    <row r="37">
      <c r="A37" s="4" t="s">
        <v>211</v>
      </c>
      <c r="B37" s="4" t="s">
        <v>212</v>
      </c>
      <c r="C37" s="13" t="str">
        <f>HYPERLINK("https://phdata.atlassian.net/browse/WMEPO-36886","WMEPO-36886")</f>
        <v>WMEPO-36886</v>
      </c>
      <c r="D37" s="4" t="s">
        <v>53</v>
      </c>
      <c r="E37" s="4" t="s">
        <v>216</v>
      </c>
      <c r="F37" s="4" t="s">
        <v>70</v>
      </c>
      <c r="G37" s="4" t="s">
        <v>55</v>
      </c>
      <c r="H37" s="14">
        <v>25.0</v>
      </c>
      <c r="I37" s="8"/>
      <c r="J37" s="8"/>
    </row>
    <row r="38">
      <c r="A38" s="4" t="s">
        <v>217</v>
      </c>
      <c r="B38" s="4" t="s">
        <v>218</v>
      </c>
      <c r="C38" s="13" t="str">
        <f>HYPERLINK("https://phdata.atlassian.net/browse/WMEPO-36887","WMEPO-36887")</f>
        <v>WMEPO-36887</v>
      </c>
      <c r="D38" s="4" t="s">
        <v>53</v>
      </c>
      <c r="E38" s="4" t="s">
        <v>219</v>
      </c>
      <c r="F38" s="4" t="s">
        <v>70</v>
      </c>
      <c r="G38" s="4" t="s">
        <v>55</v>
      </c>
      <c r="H38" s="14">
        <v>21.75</v>
      </c>
      <c r="I38" s="8"/>
      <c r="J38" s="8"/>
    </row>
    <row r="39">
      <c r="A39" s="4" t="s">
        <v>220</v>
      </c>
      <c r="B39" s="4" t="s">
        <v>221</v>
      </c>
      <c r="C39" s="13" t="str">
        <f>HYPERLINK("https://phdata.atlassian.net/browse/WMEPO-36888","WMEPO-36888")</f>
        <v>WMEPO-36888</v>
      </c>
      <c r="D39" s="4" t="s">
        <v>53</v>
      </c>
      <c r="E39" s="4" t="s">
        <v>222</v>
      </c>
      <c r="F39" s="4" t="s">
        <v>70</v>
      </c>
      <c r="G39" s="4" t="s">
        <v>55</v>
      </c>
      <c r="H39" s="14">
        <v>18.0</v>
      </c>
      <c r="I39" s="8"/>
      <c r="J39" s="8"/>
    </row>
    <row r="40">
      <c r="A40" s="4" t="s">
        <v>223</v>
      </c>
      <c r="B40" s="4" t="s">
        <v>224</v>
      </c>
      <c r="C40" s="13" t="str">
        <f>HYPERLINK("https://phdata.atlassian.net/browse/WMEPO-36889","WMEPO-36889")</f>
        <v>WMEPO-36889</v>
      </c>
      <c r="D40" s="4" t="s">
        <v>53</v>
      </c>
      <c r="E40" s="4" t="s">
        <v>225</v>
      </c>
      <c r="F40" s="4" t="s">
        <v>70</v>
      </c>
      <c r="G40" s="4" t="s">
        <v>55</v>
      </c>
      <c r="H40" s="14">
        <v>15.75</v>
      </c>
      <c r="I40" s="8"/>
      <c r="J40" s="8"/>
    </row>
    <row r="41">
      <c r="A41" s="4" t="s">
        <v>226</v>
      </c>
      <c r="B41" s="4" t="s">
        <v>227</v>
      </c>
      <c r="C41" s="13" t="str">
        <f>HYPERLINK("https://phdata.atlassian.net/browse/WMEPO-36890","WMEPO-36890")</f>
        <v>WMEPO-36890</v>
      </c>
      <c r="D41" s="4" t="s">
        <v>53</v>
      </c>
      <c r="E41" s="4" t="s">
        <v>228</v>
      </c>
      <c r="F41" s="4" t="s">
        <v>65</v>
      </c>
      <c r="G41" s="4" t="s">
        <v>55</v>
      </c>
      <c r="H41" s="14">
        <v>13.75</v>
      </c>
      <c r="I41" s="8"/>
      <c r="J41" s="8"/>
    </row>
    <row r="42">
      <c r="A42" s="4" t="s">
        <v>229</v>
      </c>
      <c r="B42" s="4" t="s">
        <v>230</v>
      </c>
      <c r="C42" s="13" t="str">
        <f>HYPERLINK("https://phdata.atlassian.net/browse/WMEPO-36891","WMEPO-36891")</f>
        <v>WMEPO-36891</v>
      </c>
      <c r="D42" s="4" t="s">
        <v>53</v>
      </c>
      <c r="E42" s="4" t="s">
        <v>231</v>
      </c>
      <c r="F42" s="4" t="s">
        <v>65</v>
      </c>
      <c r="G42" s="4" t="s">
        <v>55</v>
      </c>
      <c r="H42" s="14">
        <v>14.17</v>
      </c>
      <c r="I42" s="8"/>
      <c r="J42" s="8"/>
    </row>
    <row r="43">
      <c r="A43" s="4" t="s">
        <v>232</v>
      </c>
      <c r="B43" s="4" t="s">
        <v>233</v>
      </c>
      <c r="C43" s="13" t="str">
        <f>HYPERLINK("https://phdata.atlassian.net/browse/WMEPO-36892","WMEPO-36892")</f>
        <v>WMEPO-36892</v>
      </c>
      <c r="D43" s="4" t="s">
        <v>53</v>
      </c>
      <c r="E43" s="4" t="s">
        <v>234</v>
      </c>
      <c r="F43" s="4" t="s">
        <v>65</v>
      </c>
      <c r="G43" s="4" t="s">
        <v>55</v>
      </c>
      <c r="H43" s="14">
        <v>6.5</v>
      </c>
      <c r="I43" s="8"/>
      <c r="J43" s="8"/>
    </row>
    <row r="44">
      <c r="A44" s="4" t="s">
        <v>235</v>
      </c>
      <c r="B44" s="4" t="s">
        <v>236</v>
      </c>
      <c r="C44" s="13" t="str">
        <f>HYPERLINK("https://phdata.atlassian.net/browse/WMEPO-42203","WMEPO-42203")</f>
        <v>WMEPO-42203</v>
      </c>
      <c r="D44" s="4" t="s">
        <v>53</v>
      </c>
      <c r="E44" s="4" t="s">
        <v>237</v>
      </c>
      <c r="F44" s="4" t="s">
        <v>70</v>
      </c>
      <c r="G44" s="4" t="s">
        <v>55</v>
      </c>
      <c r="H44" s="14">
        <v>2.0</v>
      </c>
      <c r="I44" s="8"/>
      <c r="J44" s="8"/>
    </row>
    <row r="45">
      <c r="A45" s="4" t="s">
        <v>238</v>
      </c>
      <c r="B45" s="4" t="s">
        <v>239</v>
      </c>
      <c r="C45" s="13" t="str">
        <f>HYPERLINK("https://phdata.atlassian.net/browse/WMEPO-46191","WMEPO-46191")</f>
        <v>WMEPO-46191</v>
      </c>
      <c r="D45" s="4" t="s">
        <v>53</v>
      </c>
      <c r="E45" s="4" t="s">
        <v>240</v>
      </c>
      <c r="F45" s="4" t="s">
        <v>70</v>
      </c>
      <c r="G45" s="4" t="s">
        <v>55</v>
      </c>
      <c r="H45" s="14">
        <v>2.5</v>
      </c>
      <c r="I45" s="8"/>
      <c r="J45" s="8"/>
    </row>
    <row r="46">
      <c r="A46" s="4" t="s">
        <v>241</v>
      </c>
      <c r="B46" s="4" t="s">
        <v>242</v>
      </c>
      <c r="C46" s="13" t="str">
        <f>HYPERLINK("https://phdata.atlassian.net/browse/WMEPO-46192","WMEPO-46192")</f>
        <v>WMEPO-46192</v>
      </c>
      <c r="D46" s="4" t="s">
        <v>53</v>
      </c>
      <c r="E46" s="4" t="s">
        <v>243</v>
      </c>
      <c r="F46" s="4" t="s">
        <v>65</v>
      </c>
      <c r="G46" s="4" t="s">
        <v>55</v>
      </c>
      <c r="H46" s="14">
        <v>7.0</v>
      </c>
      <c r="I46" s="8"/>
      <c r="J46" s="8"/>
    </row>
    <row r="47">
      <c r="A47" s="4" t="s">
        <v>244</v>
      </c>
      <c r="B47" s="4" t="s">
        <v>245</v>
      </c>
      <c r="C47" s="13" t="str">
        <f>HYPERLINK("https://phdata.atlassian.net/browse/WMEPO-46195","WMEPO-46195")</f>
        <v>WMEPO-46195</v>
      </c>
      <c r="D47" s="4" t="s">
        <v>53</v>
      </c>
      <c r="E47" s="4" t="s">
        <v>246</v>
      </c>
      <c r="F47" s="4" t="s">
        <v>145</v>
      </c>
      <c r="G47" s="4" t="s">
        <v>55</v>
      </c>
      <c r="H47" s="14">
        <v>0.0</v>
      </c>
      <c r="I47" s="8"/>
      <c r="J47" s="8"/>
    </row>
    <row r="48">
      <c r="A48" s="4" t="s">
        <v>247</v>
      </c>
      <c r="B48" s="4" t="s">
        <v>248</v>
      </c>
      <c r="C48" s="13" t="str">
        <f>HYPERLINK("https://phdata.atlassian.net/browse/WMEPO-50631","WMEPO-50631")</f>
        <v>WMEPO-50631</v>
      </c>
      <c r="D48" s="4" t="s">
        <v>53</v>
      </c>
      <c r="E48" s="4" t="s">
        <v>249</v>
      </c>
      <c r="F48" s="4" t="s">
        <v>65</v>
      </c>
      <c r="G48" s="4" t="s">
        <v>55</v>
      </c>
      <c r="H48" s="14">
        <v>21.5</v>
      </c>
      <c r="I48" s="8"/>
      <c r="J48" s="8"/>
    </row>
    <row r="49">
      <c r="A49" s="4" t="s">
        <v>250</v>
      </c>
      <c r="B49" s="4" t="s">
        <v>252</v>
      </c>
      <c r="C49" s="13" t="str">
        <f>HYPERLINK("https://phdata.atlassian.net/browse/WMEPO-51111","WMEPO-51111")</f>
        <v>WMEPO-51111</v>
      </c>
      <c r="D49" s="4" t="s">
        <v>53</v>
      </c>
      <c r="E49" s="4" t="s">
        <v>254</v>
      </c>
      <c r="F49" s="4" t="s">
        <v>255</v>
      </c>
      <c r="G49" s="4" t="s">
        <v>55</v>
      </c>
      <c r="H49" s="14">
        <v>8.5</v>
      </c>
      <c r="I49" s="8"/>
      <c r="J49" s="8"/>
    </row>
    <row r="50">
      <c r="A50" s="4" t="s">
        <v>256</v>
      </c>
      <c r="B50" s="4" t="s">
        <v>257</v>
      </c>
      <c r="C50" s="13" t="str">
        <f>HYPERLINK("https://phdata.atlassian.net/browse/WMEPO-51112","WMEPO-51112")</f>
        <v>WMEPO-51112</v>
      </c>
      <c r="D50" s="4" t="s">
        <v>53</v>
      </c>
      <c r="E50" s="4" t="s">
        <v>258</v>
      </c>
      <c r="F50" s="4" t="s">
        <v>255</v>
      </c>
      <c r="G50" s="4" t="s">
        <v>55</v>
      </c>
      <c r="H50" s="14">
        <v>1.5</v>
      </c>
      <c r="I50" s="8"/>
      <c r="J50" s="8"/>
    </row>
    <row r="51">
      <c r="A51" s="4" t="s">
        <v>261</v>
      </c>
      <c r="B51" s="4" t="s">
        <v>262</v>
      </c>
      <c r="C51" s="13" t="str">
        <f>HYPERLINK("https://phdata.atlassian.net/browse/WMEPO-51147","WMEPO-51147")</f>
        <v>WMEPO-51147</v>
      </c>
      <c r="D51" s="4" t="s">
        <v>53</v>
      </c>
      <c r="E51" s="4" t="s">
        <v>268</v>
      </c>
      <c r="F51" s="4" t="s">
        <v>70</v>
      </c>
      <c r="G51" s="4" t="s">
        <v>55</v>
      </c>
      <c r="H51" s="14">
        <v>2.5</v>
      </c>
      <c r="I51" s="8"/>
      <c r="J51" s="8"/>
    </row>
    <row r="52">
      <c r="A52" s="4" t="s">
        <v>270</v>
      </c>
      <c r="B52" s="4" t="s">
        <v>271</v>
      </c>
      <c r="C52" s="13" t="str">
        <f>HYPERLINK("https://phdata.atlassian.net/browse/WMEPO-58263","WMEPO-58263")</f>
        <v>WMEPO-58263</v>
      </c>
      <c r="D52" s="4" t="s">
        <v>53</v>
      </c>
      <c r="E52" s="4" t="s">
        <v>272</v>
      </c>
      <c r="F52" s="4" t="s">
        <v>65</v>
      </c>
      <c r="G52" s="4" t="s">
        <v>55</v>
      </c>
      <c r="H52" s="14">
        <v>8.75</v>
      </c>
      <c r="I52" s="8"/>
      <c r="J52" s="8"/>
    </row>
    <row r="53">
      <c r="A53" s="4" t="s">
        <v>277</v>
      </c>
      <c r="B53" s="4" t="s">
        <v>278</v>
      </c>
      <c r="C53" s="13" t="str">
        <f>HYPERLINK("https://phdata.atlassian.net/browse/WMEPO-60547","WMEPO-60547")</f>
        <v>WMEPO-60547</v>
      </c>
      <c r="D53" s="4" t="s">
        <v>53</v>
      </c>
      <c r="E53" s="4" t="s">
        <v>281</v>
      </c>
      <c r="F53" s="4" t="s">
        <v>145</v>
      </c>
      <c r="G53" s="4" t="s">
        <v>55</v>
      </c>
      <c r="H53" s="14">
        <v>0.0</v>
      </c>
      <c r="I53" s="8"/>
      <c r="J53" s="8"/>
    </row>
    <row r="54">
      <c r="A54" s="8"/>
      <c r="B54" s="8"/>
      <c r="C54" s="8"/>
      <c r="D54" s="8"/>
      <c r="E54" s="8"/>
      <c r="F54" s="8"/>
      <c r="G54" s="8"/>
      <c r="I54" s="8"/>
      <c r="J54" s="8"/>
    </row>
    <row r="55">
      <c r="A55" s="8"/>
      <c r="B55" s="8"/>
      <c r="C55" s="8"/>
      <c r="D55" s="8"/>
      <c r="E55" s="8"/>
      <c r="F55" s="8"/>
      <c r="G55" s="8"/>
      <c r="I55" s="8"/>
      <c r="J55" s="8"/>
    </row>
    <row r="56">
      <c r="A56" s="8"/>
      <c r="B56" s="8"/>
      <c r="C56" s="8"/>
      <c r="D56" s="8"/>
      <c r="E56" s="8"/>
      <c r="F56" s="8"/>
      <c r="G56" s="8"/>
      <c r="I56" s="8"/>
      <c r="J56" s="8"/>
    </row>
    <row r="57">
      <c r="A57" s="8"/>
      <c r="B57" s="8"/>
      <c r="C57" s="8"/>
      <c r="D57" s="8"/>
      <c r="E57" s="8"/>
      <c r="F57" s="8"/>
      <c r="G57" s="8"/>
      <c r="I57" s="8"/>
      <c r="J57" s="8"/>
    </row>
    <row r="58">
      <c r="A58" s="8"/>
      <c r="B58" s="8"/>
      <c r="C58" s="8"/>
      <c r="D58" s="8"/>
      <c r="E58" s="8"/>
      <c r="F58" s="8"/>
      <c r="G58" s="8"/>
      <c r="I58" s="8"/>
      <c r="J58" s="8"/>
    </row>
    <row r="59">
      <c r="A59" s="8"/>
      <c r="B59" s="8"/>
      <c r="C59" s="8"/>
      <c r="D59" s="8"/>
      <c r="E59" s="8"/>
      <c r="F59" s="8"/>
      <c r="G59" s="8"/>
      <c r="I59" s="8"/>
      <c r="J59" s="8"/>
    </row>
    <row r="60">
      <c r="A60" s="8"/>
      <c r="B60" s="8"/>
      <c r="C60" s="8"/>
      <c r="D60" s="8"/>
      <c r="E60" s="8"/>
      <c r="F60" s="8"/>
      <c r="G60" s="8"/>
      <c r="I60" s="8"/>
      <c r="J60" s="8"/>
    </row>
    <row r="61">
      <c r="A61" s="8"/>
      <c r="B61" s="8"/>
      <c r="C61" s="8"/>
      <c r="D61" s="8"/>
      <c r="E61" s="8"/>
      <c r="F61" s="8"/>
      <c r="G61" s="8"/>
      <c r="I61" s="8"/>
      <c r="J61" s="8"/>
    </row>
    <row r="62">
      <c r="A62" s="8"/>
      <c r="B62" s="8"/>
      <c r="C62" s="8"/>
      <c r="D62" s="8"/>
      <c r="E62" s="8"/>
      <c r="F62" s="8"/>
      <c r="G62" s="8"/>
      <c r="I62" s="8"/>
      <c r="J62" s="8"/>
    </row>
    <row r="63">
      <c r="A63" s="8"/>
      <c r="B63" s="8"/>
      <c r="C63" s="8"/>
      <c r="D63" s="8"/>
      <c r="E63" s="8"/>
      <c r="F63" s="8"/>
      <c r="G63" s="8"/>
      <c r="I63" s="8"/>
      <c r="J63" s="8"/>
    </row>
    <row r="64">
      <c r="A64" s="8"/>
      <c r="B64" s="8"/>
      <c r="C64" s="8"/>
      <c r="D64" s="8"/>
      <c r="E64" s="8"/>
      <c r="F64" s="8"/>
      <c r="G64" s="8"/>
      <c r="I64" s="8"/>
      <c r="J64" s="8"/>
    </row>
    <row r="65">
      <c r="A65" s="8"/>
      <c r="B65" s="8"/>
      <c r="C65" s="8"/>
      <c r="D65" s="8"/>
      <c r="E65" s="8"/>
      <c r="F65" s="8"/>
      <c r="G65" s="8"/>
      <c r="I65" s="8"/>
      <c r="J65" s="8"/>
    </row>
    <row r="66">
      <c r="A66" s="8"/>
      <c r="B66" s="8"/>
      <c r="C66" s="8"/>
      <c r="D66" s="8"/>
      <c r="E66" s="8"/>
      <c r="F66" s="8"/>
      <c r="G66" s="8"/>
      <c r="I66" s="8"/>
      <c r="J66" s="8"/>
    </row>
    <row r="67">
      <c r="A67" s="8"/>
      <c r="B67" s="8"/>
      <c r="C67" s="8"/>
      <c r="D67" s="8"/>
      <c r="E67" s="8"/>
      <c r="F67" s="8"/>
      <c r="G67" s="8"/>
      <c r="I67" s="8"/>
      <c r="J67" s="8"/>
    </row>
    <row r="68">
      <c r="A68" s="8"/>
      <c r="B68" s="8"/>
      <c r="C68" s="8"/>
      <c r="D68" s="8"/>
      <c r="E68" s="8"/>
      <c r="F68" s="8"/>
      <c r="G68" s="8"/>
      <c r="I68" s="8"/>
      <c r="J68" s="8"/>
    </row>
    <row r="69">
      <c r="A69" s="8"/>
      <c r="B69" s="8"/>
      <c r="C69" s="8"/>
      <c r="D69" s="8"/>
      <c r="E69" s="8"/>
      <c r="F69" s="8"/>
      <c r="G69" s="8"/>
      <c r="I69" s="8"/>
      <c r="J69" s="8"/>
    </row>
    <row r="70">
      <c r="A70" s="8"/>
      <c r="B70" s="8"/>
      <c r="C70" s="8"/>
      <c r="D70" s="8"/>
      <c r="E70" s="8"/>
      <c r="F70" s="8"/>
      <c r="G70" s="8"/>
      <c r="I70" s="8"/>
      <c r="J70" s="8"/>
    </row>
    <row r="71">
      <c r="A71" s="8"/>
      <c r="B71" s="8"/>
      <c r="C71" s="8"/>
      <c r="D71" s="8"/>
      <c r="E71" s="8"/>
      <c r="F71" s="8"/>
      <c r="G71" s="8"/>
      <c r="I71" s="8"/>
      <c r="J71" s="8"/>
    </row>
    <row r="72">
      <c r="A72" s="8"/>
      <c r="B72" s="8"/>
      <c r="C72" s="8"/>
      <c r="D72" s="8"/>
      <c r="E72" s="8"/>
      <c r="F72" s="8"/>
      <c r="G72" s="8"/>
      <c r="I72" s="8"/>
      <c r="J72" s="8"/>
    </row>
    <row r="73">
      <c r="A73" s="8"/>
      <c r="B73" s="8"/>
      <c r="C73" s="8"/>
      <c r="D73" s="8"/>
      <c r="E73" s="8"/>
      <c r="F73" s="8"/>
      <c r="G73" s="8"/>
      <c r="I73" s="8"/>
      <c r="J73" s="8"/>
    </row>
    <row r="74">
      <c r="A74" s="8"/>
      <c r="B74" s="8"/>
      <c r="C74" s="8"/>
      <c r="D74" s="8"/>
      <c r="E74" s="8"/>
      <c r="F74" s="8"/>
      <c r="G74" s="8"/>
      <c r="I74" s="8"/>
      <c r="J74" s="8"/>
    </row>
    <row r="75">
      <c r="A75" s="8"/>
      <c r="B75" s="8"/>
      <c r="C75" s="8"/>
      <c r="D75" s="8"/>
      <c r="E75" s="8"/>
      <c r="F75" s="8"/>
      <c r="G75" s="8"/>
      <c r="I75" s="8"/>
      <c r="J75" s="8"/>
    </row>
    <row r="76">
      <c r="A76" s="8"/>
      <c r="B76" s="8"/>
      <c r="C76" s="8"/>
      <c r="D76" s="8"/>
      <c r="E76" s="8"/>
      <c r="F76" s="8"/>
      <c r="G76" s="8"/>
      <c r="I76" s="8"/>
      <c r="J76" s="8"/>
    </row>
    <row r="77">
      <c r="A77" s="8"/>
      <c r="B77" s="8"/>
      <c r="C77" s="8"/>
      <c r="D77" s="8"/>
      <c r="E77" s="8"/>
      <c r="F77" s="8"/>
      <c r="G77" s="8"/>
      <c r="I77" s="8"/>
      <c r="J77" s="8"/>
    </row>
    <row r="78">
      <c r="A78" s="8"/>
      <c r="B78" s="8"/>
      <c r="C78" s="8"/>
      <c r="D78" s="8"/>
      <c r="E78" s="8"/>
      <c r="F78" s="8"/>
      <c r="G78" s="8"/>
      <c r="I78" s="8"/>
      <c r="J78" s="8"/>
    </row>
    <row r="79">
      <c r="A79" s="8"/>
      <c r="B79" s="8"/>
      <c r="C79" s="8"/>
      <c r="D79" s="8"/>
      <c r="E79" s="8"/>
      <c r="F79" s="8"/>
      <c r="G79" s="8"/>
      <c r="I79" s="8"/>
      <c r="J79" s="8"/>
    </row>
    <row r="80">
      <c r="A80" s="8"/>
      <c r="B80" s="8"/>
      <c r="C80" s="8"/>
      <c r="D80" s="8"/>
      <c r="E80" s="8"/>
      <c r="F80" s="8"/>
      <c r="G80" s="8"/>
      <c r="I80" s="8"/>
    </row>
    <row r="81">
      <c r="A81" s="8"/>
      <c r="B81" s="8"/>
      <c r="C81" s="8"/>
      <c r="D81" s="8"/>
      <c r="E81" s="8"/>
      <c r="F81" s="8"/>
      <c r="G81" s="8"/>
      <c r="I81" s="8"/>
    </row>
    <row r="82">
      <c r="A82" s="8"/>
      <c r="B82" s="8"/>
      <c r="C82" s="8"/>
      <c r="D82" s="8"/>
      <c r="E82" s="8"/>
      <c r="F82" s="8"/>
      <c r="G82" s="8"/>
      <c r="I82" s="8"/>
    </row>
    <row r="83">
      <c r="A83" s="8"/>
      <c r="B83" s="8"/>
      <c r="C83" s="8"/>
      <c r="D83" s="8"/>
      <c r="E83" s="8"/>
      <c r="F83" s="8"/>
      <c r="G83" s="8"/>
      <c r="I83" s="8"/>
    </row>
    <row r="84">
      <c r="A84" s="8"/>
      <c r="B84" s="8"/>
      <c r="C84" s="8"/>
      <c r="D84" s="8"/>
      <c r="E84" s="8"/>
      <c r="F84" s="8"/>
      <c r="G84" s="8"/>
      <c r="I84" s="8"/>
    </row>
    <row r="85">
      <c r="A85" s="8"/>
      <c r="B85" s="8"/>
      <c r="C85" s="8"/>
      <c r="D85" s="8"/>
      <c r="E85" s="8"/>
      <c r="F85" s="8"/>
      <c r="G85" s="8"/>
      <c r="I85" s="8"/>
    </row>
    <row r="86">
      <c r="A86" s="8"/>
      <c r="B86" s="8"/>
      <c r="C86" s="8"/>
      <c r="D86" s="8"/>
      <c r="E86" s="8"/>
      <c r="F86" s="8"/>
      <c r="G86" s="8"/>
      <c r="I86" s="8"/>
    </row>
    <row r="87">
      <c r="A87" s="8"/>
      <c r="B87" s="8"/>
      <c r="C87" s="8"/>
      <c r="D87" s="8"/>
      <c r="E87" s="8"/>
      <c r="F87" s="8"/>
      <c r="G87" s="8"/>
      <c r="I87" s="8"/>
    </row>
    <row r="88">
      <c r="A88" s="8"/>
      <c r="B88" s="8"/>
      <c r="C88" s="8"/>
      <c r="D88" s="8"/>
      <c r="E88" s="8"/>
      <c r="F88" s="8"/>
      <c r="G88" s="8"/>
      <c r="I88" s="8"/>
    </row>
    <row r="89">
      <c r="A89" s="8"/>
      <c r="B89" s="8"/>
      <c r="C89" s="8"/>
      <c r="D89" s="8"/>
      <c r="E89" s="8"/>
      <c r="F89" s="8"/>
      <c r="G89" s="8"/>
      <c r="I89" s="8"/>
    </row>
    <row r="90">
      <c r="A90" s="8"/>
      <c r="B90" s="8"/>
      <c r="C90" s="8"/>
      <c r="D90" s="8"/>
      <c r="E90" s="8"/>
      <c r="F90" s="8"/>
      <c r="G90" s="8"/>
      <c r="I90" s="8"/>
    </row>
    <row r="91">
      <c r="A91" s="8"/>
      <c r="B91" s="8"/>
      <c r="C91" s="8"/>
      <c r="D91" s="8"/>
      <c r="E91" s="8"/>
      <c r="F91" s="8"/>
      <c r="G91" s="8"/>
      <c r="I91" s="8"/>
    </row>
    <row r="92">
      <c r="A92" s="8"/>
      <c r="B92" s="8"/>
      <c r="C92" s="8"/>
      <c r="D92" s="8"/>
      <c r="E92" s="8"/>
      <c r="F92" s="8"/>
      <c r="G92" s="8"/>
      <c r="I92" s="8"/>
    </row>
    <row r="93">
      <c r="A93" s="8"/>
      <c r="B93" s="8"/>
      <c r="C93" s="8"/>
      <c r="D93" s="8"/>
      <c r="E93" s="8"/>
      <c r="F93" s="8"/>
      <c r="G93" s="8"/>
      <c r="I93" s="8"/>
    </row>
    <row r="94">
      <c r="A94" s="8"/>
      <c r="B94" s="8"/>
      <c r="C94" s="8"/>
      <c r="D94" s="8"/>
      <c r="E94" s="8"/>
      <c r="F94" s="8"/>
      <c r="I94" s="8"/>
    </row>
    <row r="95">
      <c r="A95" s="8"/>
      <c r="B95" s="8"/>
      <c r="C95" s="8"/>
      <c r="D95" s="8"/>
      <c r="E95" s="8"/>
      <c r="F95" s="8"/>
      <c r="I95" s="8"/>
    </row>
    <row r="96">
      <c r="A96" s="8"/>
      <c r="B96" s="8"/>
      <c r="C96" s="8"/>
      <c r="D96" s="8"/>
      <c r="E96" s="8"/>
      <c r="F96" s="8"/>
      <c r="I96" s="8"/>
    </row>
  </sheetData>
  <autoFilter ref="$A$1:$I$15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3" width="14.38"/>
    <col customWidth="1" min="5" max="5" width="24.75"/>
    <col customWidth="1" min="8" max="8" width="44.63"/>
    <col customWidth="1" min="9" max="10" width="18.88"/>
  </cols>
  <sheetData>
    <row r="1" ht="15.75" customHeight="1">
      <c r="A1" s="1" t="s">
        <v>1</v>
      </c>
      <c r="B1" s="2" t="s">
        <v>3</v>
      </c>
      <c r="C1" s="6" t="s">
        <v>6</v>
      </c>
      <c r="D1" s="6" t="s">
        <v>18</v>
      </c>
      <c r="E1" s="1" t="s">
        <v>20</v>
      </c>
      <c r="F1" s="1" t="s">
        <v>22</v>
      </c>
      <c r="G1" s="1" t="s">
        <v>24</v>
      </c>
      <c r="H1" s="1" t="s">
        <v>26</v>
      </c>
      <c r="I1" s="1" t="s">
        <v>28</v>
      </c>
      <c r="J1" s="1" t="s">
        <v>29</v>
      </c>
      <c r="K1" s="11" t="s">
        <v>32</v>
      </c>
      <c r="L1" s="12"/>
    </row>
    <row r="2" ht="15.75" customHeight="1">
      <c r="B2" s="2"/>
      <c r="C2" s="6"/>
      <c r="D2" s="6"/>
      <c r="I2" s="15" t="str">
        <f t="array" ref="I2:I602">IFERROR(vlookup(H2:H602,Assignments!A:F,6,false),"")</f>
        <v/>
      </c>
      <c r="J2" s="15" t="str">
        <f t="array" ref="J2:J602">IFERROR(vlookup(H2:H602,Assignments!A:F,2,false),"")</f>
        <v/>
      </c>
      <c r="K2" s="22">
        <f t="array" ref="K2:K602">D2:D602-C2:C602</f>
        <v>0</v>
      </c>
    </row>
    <row r="3" ht="15.75" customHeight="1">
      <c r="B3" s="2"/>
      <c r="C3" s="6"/>
      <c r="D3" s="6"/>
      <c r="I3" s="15" t="s">
        <v>86</v>
      </c>
      <c r="J3" s="15" t="s">
        <v>86</v>
      </c>
      <c r="K3" s="22">
        <v>0.0</v>
      </c>
    </row>
    <row r="4" ht="15.75" customHeight="1">
      <c r="B4" s="2"/>
      <c r="C4" s="6"/>
      <c r="D4" s="6"/>
      <c r="I4" s="15" t="s">
        <v>86</v>
      </c>
      <c r="J4" s="15" t="s">
        <v>86</v>
      </c>
      <c r="K4" s="22">
        <v>0.0</v>
      </c>
    </row>
    <row r="5" ht="15.75" customHeight="1">
      <c r="B5" s="2"/>
      <c r="C5" s="6"/>
      <c r="D5" s="6"/>
      <c r="I5" s="15" t="s">
        <v>86</v>
      </c>
      <c r="J5" s="15" t="s">
        <v>86</v>
      </c>
      <c r="K5" s="22">
        <v>0.0</v>
      </c>
    </row>
    <row r="6" ht="15.75" customHeight="1">
      <c r="B6" s="2"/>
      <c r="C6" s="6"/>
      <c r="D6" s="6"/>
      <c r="I6" s="15" t="s">
        <v>86</v>
      </c>
      <c r="J6" s="15" t="s">
        <v>86</v>
      </c>
      <c r="K6" s="22">
        <v>0.0</v>
      </c>
    </row>
    <row r="7" ht="15.75" customHeight="1">
      <c r="B7" s="2"/>
      <c r="C7" s="6"/>
      <c r="D7" s="6"/>
      <c r="I7" s="15" t="s">
        <v>86</v>
      </c>
      <c r="J7" s="15" t="s">
        <v>86</v>
      </c>
      <c r="K7" s="22">
        <v>0.0</v>
      </c>
    </row>
    <row r="8" ht="15.75" customHeight="1">
      <c r="B8" s="2"/>
      <c r="C8" s="6"/>
      <c r="D8" s="6"/>
      <c r="I8" s="15" t="s">
        <v>86</v>
      </c>
      <c r="J8" s="15" t="s">
        <v>86</v>
      </c>
      <c r="K8" s="22">
        <v>0.0</v>
      </c>
    </row>
    <row r="9" ht="15.75" customHeight="1">
      <c r="B9" s="2"/>
      <c r="C9" s="6"/>
      <c r="D9" s="6"/>
      <c r="I9" s="15" t="s">
        <v>86</v>
      </c>
      <c r="J9" s="15" t="s">
        <v>86</v>
      </c>
      <c r="K9" s="22">
        <v>0.0</v>
      </c>
    </row>
    <row r="10" ht="15.75" customHeight="1">
      <c r="B10" s="2"/>
      <c r="C10" s="6"/>
      <c r="D10" s="6"/>
      <c r="I10" s="15" t="s">
        <v>86</v>
      </c>
      <c r="J10" s="15" t="s">
        <v>86</v>
      </c>
      <c r="K10" s="22">
        <v>0.0</v>
      </c>
    </row>
    <row r="11" ht="15.75" customHeight="1">
      <c r="B11" s="2"/>
      <c r="C11" s="6"/>
      <c r="D11" s="6"/>
      <c r="I11" s="15" t="s">
        <v>86</v>
      </c>
      <c r="J11" s="15" t="s">
        <v>86</v>
      </c>
      <c r="K11" s="22">
        <v>0.0</v>
      </c>
    </row>
    <row r="12" ht="15.75" customHeight="1">
      <c r="B12" s="2"/>
      <c r="C12" s="6"/>
      <c r="D12" s="6"/>
      <c r="I12" s="15" t="s">
        <v>86</v>
      </c>
      <c r="J12" s="15" t="s">
        <v>86</v>
      </c>
      <c r="K12" s="22">
        <v>0.0</v>
      </c>
    </row>
    <row r="13" ht="15.75" customHeight="1">
      <c r="B13" s="2"/>
      <c r="C13" s="6"/>
      <c r="D13" s="6"/>
      <c r="I13" s="15" t="s">
        <v>86</v>
      </c>
      <c r="J13" s="15" t="s">
        <v>86</v>
      </c>
      <c r="K13" s="22">
        <v>0.0</v>
      </c>
    </row>
    <row r="14" ht="15.75" customHeight="1">
      <c r="B14" s="2"/>
      <c r="C14" s="6"/>
      <c r="D14" s="6"/>
      <c r="I14" s="15" t="s">
        <v>86</v>
      </c>
      <c r="J14" s="15" t="s">
        <v>86</v>
      </c>
      <c r="K14" s="22">
        <v>0.0</v>
      </c>
    </row>
    <row r="15" ht="15.75" customHeight="1">
      <c r="B15" s="2"/>
      <c r="C15" s="6"/>
      <c r="D15" s="6"/>
      <c r="I15" s="15" t="s">
        <v>86</v>
      </c>
      <c r="J15" s="15" t="s">
        <v>86</v>
      </c>
      <c r="K15" s="22">
        <v>0.0</v>
      </c>
    </row>
    <row r="16" ht="15.75" customHeight="1">
      <c r="B16" s="2"/>
      <c r="C16" s="6"/>
      <c r="D16" s="6"/>
      <c r="I16" s="15" t="s">
        <v>86</v>
      </c>
      <c r="J16" s="15" t="s">
        <v>86</v>
      </c>
      <c r="K16" s="22">
        <v>0.0</v>
      </c>
    </row>
    <row r="17" ht="15.75" customHeight="1">
      <c r="B17" s="2"/>
      <c r="C17" s="6"/>
      <c r="D17" s="6"/>
      <c r="I17" s="15" t="s">
        <v>86</v>
      </c>
      <c r="J17" s="15" t="s">
        <v>86</v>
      </c>
      <c r="K17" s="22">
        <v>0.0</v>
      </c>
    </row>
    <row r="18" ht="15.75" customHeight="1">
      <c r="B18" s="2"/>
      <c r="C18" s="6"/>
      <c r="D18" s="6"/>
      <c r="I18" s="15" t="s">
        <v>86</v>
      </c>
      <c r="J18" s="15" t="s">
        <v>86</v>
      </c>
      <c r="K18" s="22">
        <v>0.0</v>
      </c>
    </row>
    <row r="19" ht="15.75" customHeight="1">
      <c r="B19" s="2"/>
      <c r="C19" s="6"/>
      <c r="D19" s="6"/>
      <c r="I19" s="15" t="s">
        <v>86</v>
      </c>
      <c r="J19" s="15" t="s">
        <v>86</v>
      </c>
      <c r="K19" s="22">
        <v>0.0</v>
      </c>
    </row>
    <row r="20" ht="15.75" customHeight="1">
      <c r="B20" s="2"/>
      <c r="C20" s="6"/>
      <c r="D20" s="6"/>
      <c r="I20" s="15" t="s">
        <v>86</v>
      </c>
      <c r="J20" s="15" t="s">
        <v>86</v>
      </c>
      <c r="K20" s="22">
        <v>0.0</v>
      </c>
    </row>
    <row r="21" ht="15.75" customHeight="1">
      <c r="B21" s="2"/>
      <c r="C21" s="6"/>
      <c r="D21" s="6"/>
      <c r="I21" s="15" t="s">
        <v>86</v>
      </c>
      <c r="J21" s="15" t="s">
        <v>86</v>
      </c>
      <c r="K21" s="22">
        <v>0.0</v>
      </c>
    </row>
    <row r="22" ht="15.75" customHeight="1">
      <c r="B22" s="2"/>
      <c r="C22" s="6"/>
      <c r="D22" s="6"/>
      <c r="I22" s="15" t="s">
        <v>86</v>
      </c>
      <c r="J22" s="15" t="s">
        <v>86</v>
      </c>
      <c r="K22" s="22">
        <v>0.0</v>
      </c>
    </row>
    <row r="23" ht="15.75" customHeight="1">
      <c r="B23" s="2"/>
      <c r="C23" s="6"/>
      <c r="D23" s="6"/>
      <c r="I23" s="15" t="s">
        <v>86</v>
      </c>
      <c r="J23" s="15" t="s">
        <v>86</v>
      </c>
      <c r="K23" s="22">
        <v>0.0</v>
      </c>
    </row>
    <row r="24" ht="15.75" customHeight="1">
      <c r="B24" s="2"/>
      <c r="C24" s="6"/>
      <c r="D24" s="6"/>
      <c r="I24" s="15" t="s">
        <v>86</v>
      </c>
      <c r="J24" s="15" t="s">
        <v>86</v>
      </c>
      <c r="K24" s="22">
        <v>0.0</v>
      </c>
    </row>
    <row r="25" ht="15.75" customHeight="1">
      <c r="B25" s="2"/>
      <c r="C25" s="6"/>
      <c r="D25" s="6"/>
      <c r="I25" s="15" t="s">
        <v>86</v>
      </c>
      <c r="J25" s="15" t="s">
        <v>86</v>
      </c>
      <c r="K25" s="22">
        <v>0.0</v>
      </c>
    </row>
    <row r="26" ht="15.75" customHeight="1">
      <c r="B26" s="2"/>
      <c r="C26" s="6"/>
      <c r="D26" s="6"/>
      <c r="I26" s="15" t="s">
        <v>86</v>
      </c>
      <c r="J26" s="15" t="s">
        <v>86</v>
      </c>
      <c r="K26" s="22">
        <v>0.0</v>
      </c>
    </row>
    <row r="27" ht="15.75" customHeight="1">
      <c r="B27" s="2"/>
      <c r="C27" s="6"/>
      <c r="D27" s="6"/>
      <c r="I27" s="15" t="s">
        <v>86</v>
      </c>
      <c r="J27" s="15" t="s">
        <v>86</v>
      </c>
      <c r="K27" s="22">
        <v>0.0</v>
      </c>
    </row>
    <row r="28" ht="15.75" customHeight="1">
      <c r="B28" s="2"/>
      <c r="C28" s="6"/>
      <c r="D28" s="6"/>
      <c r="I28" s="15" t="s">
        <v>86</v>
      </c>
      <c r="J28" s="15" t="s">
        <v>86</v>
      </c>
      <c r="K28" s="22">
        <v>0.0</v>
      </c>
    </row>
    <row r="29" ht="15.75" customHeight="1">
      <c r="B29" s="2"/>
      <c r="C29" s="6"/>
      <c r="D29" s="6"/>
      <c r="I29" s="15" t="s">
        <v>86</v>
      </c>
      <c r="J29" s="15" t="s">
        <v>86</v>
      </c>
      <c r="K29" s="22">
        <v>0.0</v>
      </c>
    </row>
    <row r="30" ht="15.75" customHeight="1">
      <c r="B30" s="2"/>
      <c r="C30" s="6"/>
      <c r="D30" s="6"/>
      <c r="I30" s="15" t="s">
        <v>86</v>
      </c>
      <c r="J30" s="15" t="s">
        <v>86</v>
      </c>
      <c r="K30" s="22">
        <v>0.0</v>
      </c>
    </row>
    <row r="31" ht="15.75" customHeight="1">
      <c r="B31" s="2"/>
      <c r="C31" s="6"/>
      <c r="D31" s="6"/>
      <c r="I31" s="15" t="s">
        <v>86</v>
      </c>
      <c r="J31" s="15" t="s">
        <v>86</v>
      </c>
      <c r="K31" s="22">
        <v>0.0</v>
      </c>
    </row>
    <row r="32" ht="15.75" customHeight="1">
      <c r="B32" s="2"/>
      <c r="C32" s="6"/>
      <c r="D32" s="6"/>
      <c r="I32" s="15" t="s">
        <v>86</v>
      </c>
      <c r="J32" s="15" t="s">
        <v>86</v>
      </c>
      <c r="K32" s="22">
        <v>0.0</v>
      </c>
    </row>
    <row r="33" ht="15.75" customHeight="1">
      <c r="B33" s="2"/>
      <c r="C33" s="6"/>
      <c r="D33" s="6"/>
      <c r="I33" s="15" t="s">
        <v>86</v>
      </c>
      <c r="J33" s="15" t="s">
        <v>86</v>
      </c>
      <c r="K33" s="22">
        <v>0.0</v>
      </c>
    </row>
    <row r="34" ht="15.75" customHeight="1">
      <c r="B34" s="2"/>
      <c r="C34" s="6"/>
      <c r="D34" s="6"/>
      <c r="I34" s="15" t="s">
        <v>86</v>
      </c>
      <c r="J34" s="15" t="s">
        <v>86</v>
      </c>
      <c r="K34" s="22">
        <v>0.0</v>
      </c>
    </row>
    <row r="35" ht="15.75" customHeight="1">
      <c r="B35" s="2"/>
      <c r="C35" s="6"/>
      <c r="D35" s="6"/>
      <c r="I35" s="15" t="s">
        <v>86</v>
      </c>
      <c r="J35" s="15" t="s">
        <v>86</v>
      </c>
      <c r="K35" s="22">
        <v>0.0</v>
      </c>
    </row>
    <row r="36" ht="15.75" customHeight="1">
      <c r="B36" s="2"/>
      <c r="C36" s="6"/>
      <c r="D36" s="6"/>
      <c r="I36" s="15" t="s">
        <v>86</v>
      </c>
      <c r="J36" s="15" t="s">
        <v>86</v>
      </c>
      <c r="K36" s="22">
        <v>0.0</v>
      </c>
    </row>
    <row r="37" ht="15.75" customHeight="1">
      <c r="B37" s="2"/>
      <c r="C37" s="6"/>
      <c r="D37" s="6"/>
      <c r="I37" s="15" t="s">
        <v>86</v>
      </c>
      <c r="J37" s="15" t="s">
        <v>86</v>
      </c>
      <c r="K37" s="22">
        <v>0.0</v>
      </c>
    </row>
    <row r="38" ht="15.75" customHeight="1">
      <c r="B38" s="2"/>
      <c r="C38" s="6"/>
      <c r="D38" s="6"/>
      <c r="I38" s="15" t="s">
        <v>86</v>
      </c>
      <c r="J38" s="15" t="s">
        <v>86</v>
      </c>
      <c r="K38" s="22">
        <v>0.0</v>
      </c>
    </row>
    <row r="39" ht="15.75" customHeight="1">
      <c r="B39" s="2"/>
      <c r="C39" s="6"/>
      <c r="D39" s="6"/>
      <c r="I39" s="15" t="s">
        <v>86</v>
      </c>
      <c r="J39" s="15" t="s">
        <v>86</v>
      </c>
      <c r="K39" s="22">
        <v>0.0</v>
      </c>
    </row>
    <row r="40" ht="15.75" customHeight="1">
      <c r="A40" s="8"/>
      <c r="B40" s="37"/>
      <c r="C40" s="38"/>
      <c r="D40" s="38"/>
      <c r="F40" s="8"/>
      <c r="G40" s="8"/>
      <c r="H40" s="8"/>
      <c r="I40" s="15" t="s">
        <v>86</v>
      </c>
      <c r="J40" s="15" t="s">
        <v>86</v>
      </c>
      <c r="K40" s="22">
        <v>0.0</v>
      </c>
    </row>
    <row r="41" ht="15.75" customHeight="1">
      <c r="A41" s="8"/>
      <c r="B41" s="37"/>
      <c r="C41" s="38"/>
      <c r="D41" s="38"/>
      <c r="F41" s="8"/>
      <c r="G41" s="8"/>
      <c r="H41" s="8"/>
      <c r="I41" s="15" t="s">
        <v>86</v>
      </c>
      <c r="J41" s="15" t="s">
        <v>86</v>
      </c>
      <c r="K41" s="22">
        <v>0.0</v>
      </c>
    </row>
    <row r="42" ht="15.75" customHeight="1">
      <c r="A42" s="8"/>
      <c r="B42" s="37"/>
      <c r="C42" s="38"/>
      <c r="D42" s="38"/>
      <c r="F42" s="8"/>
      <c r="G42" s="8"/>
      <c r="H42" s="8"/>
      <c r="I42" s="15" t="s">
        <v>86</v>
      </c>
      <c r="J42" s="15" t="s">
        <v>86</v>
      </c>
      <c r="K42" s="22">
        <v>0.0</v>
      </c>
    </row>
    <row r="43" ht="15.75" customHeight="1">
      <c r="A43" s="8"/>
      <c r="B43" s="37"/>
      <c r="C43" s="38"/>
      <c r="D43" s="38"/>
      <c r="F43" s="8"/>
      <c r="G43" s="8"/>
      <c r="H43" s="8"/>
      <c r="I43" s="15" t="s">
        <v>86</v>
      </c>
      <c r="J43" s="15" t="s">
        <v>86</v>
      </c>
      <c r="K43" s="22">
        <v>0.0</v>
      </c>
    </row>
    <row r="44" ht="15.75" customHeight="1">
      <c r="B44" s="37"/>
      <c r="C44" s="38"/>
      <c r="D44" s="38"/>
      <c r="I44" s="15" t="s">
        <v>86</v>
      </c>
      <c r="J44" s="15" t="s">
        <v>86</v>
      </c>
      <c r="K44" s="22">
        <v>0.0</v>
      </c>
    </row>
    <row r="45" ht="15.75" customHeight="1">
      <c r="B45" s="37"/>
      <c r="C45" s="38"/>
      <c r="D45" s="38"/>
      <c r="I45" s="15" t="s">
        <v>86</v>
      </c>
      <c r="J45" s="15" t="s">
        <v>86</v>
      </c>
      <c r="K45" s="22">
        <v>0.0</v>
      </c>
    </row>
    <row r="46" ht="15.75" customHeight="1">
      <c r="B46" s="37"/>
      <c r="C46" s="38"/>
      <c r="D46" s="38"/>
      <c r="I46" s="15" t="s">
        <v>86</v>
      </c>
      <c r="J46" s="15" t="s">
        <v>86</v>
      </c>
      <c r="K46" s="22">
        <v>0.0</v>
      </c>
    </row>
    <row r="47" ht="15.75" customHeight="1">
      <c r="B47" s="37"/>
      <c r="C47" s="38"/>
      <c r="D47" s="38"/>
      <c r="I47" s="15" t="s">
        <v>86</v>
      </c>
      <c r="J47" s="15" t="s">
        <v>86</v>
      </c>
      <c r="K47" s="22">
        <v>0.0</v>
      </c>
    </row>
    <row r="48" ht="15.75" customHeight="1">
      <c r="B48" s="37"/>
      <c r="C48" s="38"/>
      <c r="D48" s="38"/>
      <c r="I48" s="15" t="s">
        <v>86</v>
      </c>
      <c r="J48" s="15" t="s">
        <v>86</v>
      </c>
      <c r="K48" s="22">
        <v>0.0</v>
      </c>
    </row>
    <row r="49" ht="15.75" customHeight="1">
      <c r="B49" s="37"/>
      <c r="C49" s="38"/>
      <c r="D49" s="38"/>
      <c r="I49" s="15" t="s">
        <v>86</v>
      </c>
      <c r="J49" s="15" t="s">
        <v>86</v>
      </c>
      <c r="K49" s="22">
        <v>0.0</v>
      </c>
    </row>
    <row r="50" ht="15.75" customHeight="1">
      <c r="B50" s="37"/>
      <c r="C50" s="38"/>
      <c r="D50" s="38"/>
      <c r="I50" s="15" t="s">
        <v>86</v>
      </c>
      <c r="J50" s="15" t="s">
        <v>86</v>
      </c>
      <c r="K50" s="22">
        <v>0.0</v>
      </c>
    </row>
    <row r="51" ht="15.75" customHeight="1">
      <c r="B51" s="37"/>
      <c r="C51" s="38"/>
      <c r="D51" s="38"/>
      <c r="I51" s="15" t="s">
        <v>86</v>
      </c>
      <c r="J51" s="15" t="s">
        <v>86</v>
      </c>
      <c r="K51" s="22">
        <v>0.0</v>
      </c>
    </row>
    <row r="52" ht="15.75" customHeight="1">
      <c r="B52" s="37"/>
      <c r="C52" s="38"/>
      <c r="D52" s="38"/>
      <c r="I52" s="15" t="s">
        <v>86</v>
      </c>
      <c r="J52" s="15" t="s">
        <v>86</v>
      </c>
      <c r="K52" s="22">
        <v>0.0</v>
      </c>
    </row>
    <row r="53" ht="15.75" customHeight="1">
      <c r="A53" s="8"/>
      <c r="B53" s="37"/>
      <c r="C53" s="38"/>
      <c r="D53" s="38"/>
      <c r="F53" s="8"/>
      <c r="G53" s="8"/>
      <c r="H53" s="8"/>
      <c r="I53" s="15" t="s">
        <v>86</v>
      </c>
      <c r="J53" s="15" t="s">
        <v>86</v>
      </c>
      <c r="K53" s="22">
        <v>0.0</v>
      </c>
    </row>
    <row r="54" ht="15.75" customHeight="1">
      <c r="B54" s="37"/>
      <c r="C54" s="38"/>
      <c r="D54" s="38"/>
      <c r="I54" s="15" t="s">
        <v>86</v>
      </c>
      <c r="J54" s="15" t="s">
        <v>86</v>
      </c>
      <c r="K54" s="22">
        <v>0.0</v>
      </c>
    </row>
    <row r="55" ht="15.75" customHeight="1">
      <c r="B55" s="37"/>
      <c r="C55" s="38"/>
      <c r="D55" s="38"/>
      <c r="I55" s="15" t="s">
        <v>86</v>
      </c>
      <c r="J55" s="15" t="s">
        <v>86</v>
      </c>
      <c r="K55" s="22">
        <v>0.0</v>
      </c>
    </row>
    <row r="56" ht="15.75" customHeight="1">
      <c r="B56" s="37"/>
      <c r="C56" s="38"/>
      <c r="D56" s="38"/>
      <c r="I56" s="15" t="s">
        <v>86</v>
      </c>
      <c r="J56" s="15" t="s">
        <v>86</v>
      </c>
      <c r="K56" s="22">
        <v>0.0</v>
      </c>
    </row>
    <row r="57" ht="15.75" customHeight="1">
      <c r="B57" s="37"/>
      <c r="C57" s="38"/>
      <c r="D57" s="38"/>
      <c r="I57" s="15" t="s">
        <v>86</v>
      </c>
      <c r="J57" s="15" t="s">
        <v>86</v>
      </c>
      <c r="K57" s="22">
        <v>0.0</v>
      </c>
    </row>
    <row r="58" ht="15.75" customHeight="1">
      <c r="B58" s="37"/>
      <c r="C58" s="38"/>
      <c r="D58" s="38"/>
      <c r="I58" s="15" t="s">
        <v>86</v>
      </c>
      <c r="J58" s="15" t="s">
        <v>86</v>
      </c>
      <c r="K58" s="22">
        <v>0.0</v>
      </c>
    </row>
    <row r="59" ht="15.75" customHeight="1">
      <c r="B59" s="37"/>
      <c r="C59" s="38"/>
      <c r="D59" s="38"/>
      <c r="I59" s="15" t="s">
        <v>86</v>
      </c>
      <c r="J59" s="15" t="s">
        <v>86</v>
      </c>
      <c r="K59" s="22">
        <v>0.0</v>
      </c>
    </row>
    <row r="60" ht="15.75" customHeight="1">
      <c r="B60" s="37"/>
      <c r="C60" s="38"/>
      <c r="D60" s="38"/>
      <c r="I60" s="15" t="s">
        <v>86</v>
      </c>
      <c r="J60" s="15" t="s">
        <v>86</v>
      </c>
      <c r="K60" s="22">
        <v>0.0</v>
      </c>
    </row>
    <row r="61" ht="15.75" customHeight="1">
      <c r="B61" s="37"/>
      <c r="C61" s="38"/>
      <c r="D61" s="38"/>
      <c r="I61" s="15" t="s">
        <v>86</v>
      </c>
      <c r="J61" s="15" t="s">
        <v>86</v>
      </c>
      <c r="K61" s="22">
        <v>0.0</v>
      </c>
    </row>
    <row r="62" ht="15.75" customHeight="1">
      <c r="B62" s="37"/>
      <c r="C62" s="38"/>
      <c r="D62" s="38"/>
      <c r="I62" s="15" t="s">
        <v>86</v>
      </c>
      <c r="J62" s="15" t="s">
        <v>86</v>
      </c>
      <c r="K62" s="22">
        <v>0.0</v>
      </c>
    </row>
    <row r="63" ht="15.75" customHeight="1">
      <c r="B63" s="37"/>
      <c r="C63" s="38"/>
      <c r="D63" s="38"/>
      <c r="I63" s="15" t="s">
        <v>86</v>
      </c>
      <c r="J63" s="15" t="s">
        <v>86</v>
      </c>
      <c r="K63" s="22">
        <v>0.0</v>
      </c>
    </row>
    <row r="64" ht="15.75" customHeight="1">
      <c r="B64" s="37"/>
      <c r="C64" s="38"/>
      <c r="D64" s="38"/>
      <c r="I64" s="15" t="s">
        <v>86</v>
      </c>
      <c r="J64" s="15" t="s">
        <v>86</v>
      </c>
      <c r="K64" s="22">
        <v>0.0</v>
      </c>
    </row>
    <row r="65" ht="15.75" customHeight="1">
      <c r="B65" s="37"/>
      <c r="C65" s="38"/>
      <c r="D65" s="38"/>
      <c r="I65" s="15" t="s">
        <v>86</v>
      </c>
      <c r="J65" s="15" t="s">
        <v>86</v>
      </c>
      <c r="K65" s="22">
        <v>0.0</v>
      </c>
    </row>
    <row r="66">
      <c r="B66" s="37"/>
      <c r="C66" s="38"/>
      <c r="D66" s="38"/>
      <c r="I66" s="15" t="s">
        <v>86</v>
      </c>
      <c r="J66" s="15" t="s">
        <v>86</v>
      </c>
      <c r="K66" s="22">
        <v>0.0</v>
      </c>
    </row>
    <row r="67">
      <c r="B67" s="37"/>
      <c r="C67" s="38"/>
      <c r="D67" s="38"/>
      <c r="I67" s="15" t="s">
        <v>86</v>
      </c>
      <c r="J67" s="15" t="s">
        <v>86</v>
      </c>
      <c r="K67" s="22">
        <v>0.0</v>
      </c>
    </row>
    <row r="68">
      <c r="B68" s="37"/>
      <c r="C68" s="38"/>
      <c r="D68" s="38"/>
      <c r="I68" s="15" t="s">
        <v>86</v>
      </c>
      <c r="J68" s="15" t="s">
        <v>86</v>
      </c>
      <c r="K68" s="22">
        <v>0.0</v>
      </c>
    </row>
    <row r="69">
      <c r="B69" s="37"/>
      <c r="C69" s="38"/>
      <c r="D69" s="38"/>
      <c r="I69" s="15" t="s">
        <v>86</v>
      </c>
      <c r="J69" s="15" t="s">
        <v>86</v>
      </c>
      <c r="K69" s="22">
        <v>0.0</v>
      </c>
    </row>
    <row r="70">
      <c r="B70" s="37"/>
      <c r="C70" s="38"/>
      <c r="D70" s="38"/>
      <c r="I70" s="15" t="s">
        <v>86</v>
      </c>
      <c r="J70" s="15" t="s">
        <v>86</v>
      </c>
      <c r="K70" s="22">
        <v>0.0</v>
      </c>
    </row>
    <row r="71">
      <c r="B71" s="37"/>
      <c r="C71" s="38"/>
      <c r="D71" s="38"/>
      <c r="I71" s="15" t="s">
        <v>86</v>
      </c>
      <c r="J71" s="15" t="s">
        <v>86</v>
      </c>
      <c r="K71" s="22">
        <v>0.0</v>
      </c>
    </row>
    <row r="72">
      <c r="B72" s="37"/>
      <c r="C72" s="38"/>
      <c r="D72" s="38"/>
      <c r="I72" s="15" t="s">
        <v>86</v>
      </c>
      <c r="J72" s="15" t="s">
        <v>86</v>
      </c>
      <c r="K72" s="22">
        <v>0.0</v>
      </c>
    </row>
    <row r="73">
      <c r="B73" s="37"/>
      <c r="C73" s="38"/>
      <c r="D73" s="38"/>
      <c r="I73" s="15" t="s">
        <v>86</v>
      </c>
      <c r="J73" s="15" t="s">
        <v>86</v>
      </c>
      <c r="K73" s="22">
        <v>0.0</v>
      </c>
    </row>
    <row r="74">
      <c r="B74" s="37"/>
      <c r="C74" s="38"/>
      <c r="D74" s="38"/>
      <c r="I74" s="15" t="s">
        <v>86</v>
      </c>
      <c r="J74" s="15" t="s">
        <v>86</v>
      </c>
      <c r="K74" s="22">
        <v>0.0</v>
      </c>
    </row>
    <row r="75">
      <c r="B75" s="37"/>
      <c r="C75" s="38"/>
      <c r="D75" s="38"/>
      <c r="I75" s="15" t="s">
        <v>86</v>
      </c>
      <c r="J75" s="15" t="s">
        <v>86</v>
      </c>
      <c r="K75" s="22">
        <v>0.0</v>
      </c>
    </row>
    <row r="76">
      <c r="B76" s="37"/>
      <c r="C76" s="38"/>
      <c r="D76" s="38"/>
      <c r="I76" s="15" t="s">
        <v>86</v>
      </c>
      <c r="J76" s="15" t="s">
        <v>86</v>
      </c>
      <c r="K76" s="22">
        <v>0.0</v>
      </c>
    </row>
    <row r="77">
      <c r="B77" s="37"/>
      <c r="C77" s="38"/>
      <c r="D77" s="38"/>
      <c r="I77" s="15" t="s">
        <v>86</v>
      </c>
      <c r="J77" s="15" t="s">
        <v>86</v>
      </c>
      <c r="K77" s="22">
        <v>0.0</v>
      </c>
    </row>
    <row r="78">
      <c r="B78" s="37"/>
      <c r="C78" s="38"/>
      <c r="D78" s="38"/>
      <c r="I78" s="15" t="s">
        <v>86</v>
      </c>
      <c r="J78" s="15" t="s">
        <v>86</v>
      </c>
      <c r="K78" s="22">
        <v>0.0</v>
      </c>
    </row>
    <row r="79">
      <c r="B79" s="37"/>
      <c r="C79" s="38"/>
      <c r="D79" s="38"/>
      <c r="I79" s="15" t="s">
        <v>86</v>
      </c>
      <c r="J79" s="15" t="s">
        <v>86</v>
      </c>
      <c r="K79" s="22">
        <v>0.0</v>
      </c>
    </row>
    <row r="80">
      <c r="B80" s="37"/>
      <c r="C80" s="38"/>
      <c r="D80" s="38"/>
      <c r="I80" s="15" t="s">
        <v>86</v>
      </c>
      <c r="J80" s="15" t="s">
        <v>86</v>
      </c>
      <c r="K80" s="22">
        <v>0.0</v>
      </c>
    </row>
    <row r="81">
      <c r="B81" s="37"/>
      <c r="C81" s="38"/>
      <c r="D81" s="38"/>
      <c r="I81" s="15" t="s">
        <v>86</v>
      </c>
      <c r="J81" s="15" t="s">
        <v>86</v>
      </c>
      <c r="K81" s="22">
        <v>0.0</v>
      </c>
    </row>
    <row r="82">
      <c r="B82" s="37"/>
      <c r="C82" s="38"/>
      <c r="D82" s="38"/>
      <c r="I82" s="15" t="s">
        <v>86</v>
      </c>
      <c r="J82" s="15" t="s">
        <v>86</v>
      </c>
      <c r="K82" s="22">
        <v>0.0</v>
      </c>
    </row>
    <row r="83">
      <c r="B83" s="37"/>
      <c r="C83" s="38"/>
      <c r="D83" s="38"/>
      <c r="I83" s="15" t="s">
        <v>86</v>
      </c>
      <c r="J83" s="15" t="s">
        <v>86</v>
      </c>
      <c r="K83" s="22">
        <v>0.0</v>
      </c>
    </row>
    <row r="84">
      <c r="B84" s="37"/>
      <c r="C84" s="38"/>
      <c r="D84" s="38"/>
      <c r="I84" s="15" t="s">
        <v>86</v>
      </c>
      <c r="J84" s="15" t="s">
        <v>86</v>
      </c>
      <c r="K84" s="22">
        <v>0.0</v>
      </c>
    </row>
    <row r="85">
      <c r="B85" s="37"/>
      <c r="C85" s="38"/>
      <c r="D85" s="38"/>
      <c r="I85" s="15" t="s">
        <v>86</v>
      </c>
      <c r="J85" s="15" t="s">
        <v>86</v>
      </c>
      <c r="K85" s="22">
        <v>0.0</v>
      </c>
    </row>
    <row r="86">
      <c r="B86" s="37"/>
      <c r="C86" s="38"/>
      <c r="D86" s="38"/>
      <c r="I86" s="15" t="s">
        <v>86</v>
      </c>
      <c r="J86" s="15" t="s">
        <v>86</v>
      </c>
      <c r="K86" s="22">
        <v>0.0</v>
      </c>
    </row>
    <row r="87">
      <c r="B87" s="37"/>
      <c r="C87" s="38"/>
      <c r="D87" s="38"/>
      <c r="I87" s="15" t="s">
        <v>86</v>
      </c>
      <c r="J87" s="15" t="s">
        <v>86</v>
      </c>
      <c r="K87" s="22">
        <v>0.0</v>
      </c>
    </row>
    <row r="88">
      <c r="B88" s="37"/>
      <c r="C88" s="38"/>
      <c r="D88" s="38"/>
      <c r="I88" s="15" t="s">
        <v>86</v>
      </c>
      <c r="J88" s="15" t="s">
        <v>86</v>
      </c>
      <c r="K88" s="22">
        <v>0.0</v>
      </c>
    </row>
    <row r="89">
      <c r="B89" s="37"/>
      <c r="C89" s="38"/>
      <c r="D89" s="38"/>
      <c r="I89" s="15" t="s">
        <v>86</v>
      </c>
      <c r="J89" s="15" t="s">
        <v>86</v>
      </c>
      <c r="K89" s="22">
        <v>0.0</v>
      </c>
    </row>
    <row r="90">
      <c r="B90" s="37"/>
      <c r="C90" s="38"/>
      <c r="D90" s="38"/>
      <c r="I90" s="15" t="s">
        <v>86</v>
      </c>
      <c r="J90" s="15" t="s">
        <v>86</v>
      </c>
      <c r="K90" s="22">
        <v>0.0</v>
      </c>
    </row>
    <row r="91">
      <c r="B91" s="37"/>
      <c r="C91" s="38"/>
      <c r="D91" s="38"/>
      <c r="I91" s="15" t="s">
        <v>86</v>
      </c>
      <c r="J91" s="15" t="s">
        <v>86</v>
      </c>
      <c r="K91" s="22">
        <v>0.0</v>
      </c>
    </row>
    <row r="92">
      <c r="B92" s="37"/>
      <c r="C92" s="38"/>
      <c r="D92" s="38"/>
      <c r="I92" s="15" t="s">
        <v>86</v>
      </c>
      <c r="J92" s="15" t="s">
        <v>86</v>
      </c>
      <c r="K92" s="22">
        <v>0.0</v>
      </c>
    </row>
    <row r="93">
      <c r="B93" s="37"/>
      <c r="C93" s="38"/>
      <c r="D93" s="38"/>
      <c r="I93" s="15" t="s">
        <v>86</v>
      </c>
      <c r="J93" s="15" t="s">
        <v>86</v>
      </c>
      <c r="K93" s="22">
        <v>0.0</v>
      </c>
    </row>
    <row r="94">
      <c r="B94" s="37"/>
      <c r="C94" s="38"/>
      <c r="D94" s="38"/>
      <c r="I94" s="15" t="s">
        <v>86</v>
      </c>
      <c r="J94" s="15" t="s">
        <v>86</v>
      </c>
      <c r="K94" s="22">
        <v>0.0</v>
      </c>
    </row>
    <row r="95">
      <c r="B95" s="37"/>
      <c r="C95" s="38"/>
      <c r="D95" s="38"/>
      <c r="I95" s="15" t="s">
        <v>86</v>
      </c>
      <c r="J95" s="15" t="s">
        <v>86</v>
      </c>
      <c r="K95" s="22">
        <v>0.0</v>
      </c>
    </row>
    <row r="96">
      <c r="B96" s="37"/>
      <c r="C96" s="38"/>
      <c r="D96" s="38"/>
      <c r="I96" s="15" t="s">
        <v>86</v>
      </c>
      <c r="J96" s="15" t="s">
        <v>86</v>
      </c>
      <c r="K96" s="22">
        <v>0.0</v>
      </c>
    </row>
    <row r="97">
      <c r="B97" s="37"/>
      <c r="C97" s="38"/>
      <c r="D97" s="38"/>
      <c r="I97" s="15" t="s">
        <v>86</v>
      </c>
      <c r="J97" s="15" t="s">
        <v>86</v>
      </c>
      <c r="K97" s="22">
        <v>0.0</v>
      </c>
    </row>
    <row r="98">
      <c r="B98" s="37"/>
      <c r="C98" s="38"/>
      <c r="D98" s="38"/>
      <c r="I98" s="15" t="s">
        <v>86</v>
      </c>
      <c r="J98" s="15" t="s">
        <v>86</v>
      </c>
      <c r="K98" s="22">
        <v>0.0</v>
      </c>
    </row>
    <row r="99">
      <c r="B99" s="37"/>
      <c r="C99" s="38"/>
      <c r="D99" s="38"/>
      <c r="I99" s="15" t="s">
        <v>86</v>
      </c>
      <c r="J99" s="15" t="s">
        <v>86</v>
      </c>
      <c r="K99" s="22">
        <v>0.0</v>
      </c>
    </row>
    <row r="100">
      <c r="B100" s="37"/>
      <c r="C100" s="38"/>
      <c r="D100" s="38"/>
      <c r="I100" s="15" t="s">
        <v>86</v>
      </c>
      <c r="J100" s="15" t="s">
        <v>86</v>
      </c>
      <c r="K100" s="22">
        <v>0.0</v>
      </c>
    </row>
    <row r="101">
      <c r="B101" s="37"/>
      <c r="C101" s="38"/>
      <c r="D101" s="38"/>
      <c r="I101" s="15" t="s">
        <v>86</v>
      </c>
      <c r="J101" s="15" t="s">
        <v>86</v>
      </c>
      <c r="K101" s="22">
        <v>0.0</v>
      </c>
    </row>
    <row r="102">
      <c r="B102" s="37"/>
      <c r="C102" s="38"/>
      <c r="D102" s="38"/>
      <c r="I102" s="15" t="s">
        <v>86</v>
      </c>
      <c r="J102" s="15" t="s">
        <v>86</v>
      </c>
      <c r="K102" s="22">
        <v>0.0</v>
      </c>
    </row>
    <row r="103">
      <c r="B103" s="37"/>
      <c r="C103" s="38"/>
      <c r="D103" s="38"/>
      <c r="I103" s="15" t="s">
        <v>86</v>
      </c>
      <c r="J103" s="15" t="s">
        <v>86</v>
      </c>
      <c r="K103" s="22">
        <v>0.0</v>
      </c>
    </row>
    <row r="104">
      <c r="B104" s="37"/>
      <c r="C104" s="38"/>
      <c r="D104" s="38"/>
      <c r="I104" s="15" t="s">
        <v>86</v>
      </c>
      <c r="J104" s="15" t="s">
        <v>86</v>
      </c>
      <c r="K104" s="22">
        <v>0.0</v>
      </c>
    </row>
    <row r="105">
      <c r="B105" s="37"/>
      <c r="C105" s="38"/>
      <c r="D105" s="38"/>
      <c r="I105" s="15" t="s">
        <v>86</v>
      </c>
      <c r="J105" s="15" t="s">
        <v>86</v>
      </c>
      <c r="K105" s="22">
        <v>0.0</v>
      </c>
    </row>
    <row r="106">
      <c r="B106" s="37"/>
      <c r="C106" s="38"/>
      <c r="D106" s="38"/>
      <c r="I106" s="15" t="s">
        <v>86</v>
      </c>
      <c r="J106" s="15" t="s">
        <v>86</v>
      </c>
      <c r="K106" s="22">
        <v>0.0</v>
      </c>
    </row>
    <row r="107">
      <c r="B107" s="37"/>
      <c r="C107" s="38"/>
      <c r="D107" s="38"/>
      <c r="I107" s="15" t="s">
        <v>86</v>
      </c>
      <c r="J107" s="15" t="s">
        <v>86</v>
      </c>
      <c r="K107" s="22">
        <v>0.0</v>
      </c>
    </row>
    <row r="108">
      <c r="B108" s="37"/>
      <c r="C108" s="38"/>
      <c r="D108" s="38"/>
      <c r="I108" s="15" t="s">
        <v>86</v>
      </c>
      <c r="J108" s="15" t="s">
        <v>86</v>
      </c>
      <c r="K108" s="22">
        <v>0.0</v>
      </c>
    </row>
    <row r="109">
      <c r="B109" s="37"/>
      <c r="C109" s="38"/>
      <c r="D109" s="38"/>
      <c r="I109" s="15" t="s">
        <v>86</v>
      </c>
      <c r="J109" s="15" t="s">
        <v>86</v>
      </c>
      <c r="K109" s="22">
        <v>0.0</v>
      </c>
    </row>
    <row r="110">
      <c r="B110" s="37"/>
      <c r="C110" s="38"/>
      <c r="D110" s="38"/>
      <c r="I110" s="15" t="s">
        <v>86</v>
      </c>
      <c r="J110" s="15" t="s">
        <v>86</v>
      </c>
      <c r="K110" s="22">
        <v>0.0</v>
      </c>
    </row>
    <row r="111">
      <c r="B111" s="37"/>
      <c r="C111" s="38"/>
      <c r="D111" s="38"/>
      <c r="I111" s="15" t="s">
        <v>86</v>
      </c>
      <c r="J111" s="15" t="s">
        <v>86</v>
      </c>
      <c r="K111" s="22">
        <v>0.0</v>
      </c>
    </row>
    <row r="112">
      <c r="B112" s="37"/>
      <c r="C112" s="38"/>
      <c r="D112" s="38"/>
      <c r="I112" s="15" t="s">
        <v>86</v>
      </c>
      <c r="J112" s="15" t="s">
        <v>86</v>
      </c>
      <c r="K112" s="22">
        <v>0.0</v>
      </c>
    </row>
    <row r="113">
      <c r="B113" s="37"/>
      <c r="C113" s="38"/>
      <c r="D113" s="38"/>
      <c r="I113" s="15" t="s">
        <v>86</v>
      </c>
      <c r="J113" s="15" t="s">
        <v>86</v>
      </c>
      <c r="K113" s="22">
        <v>0.0</v>
      </c>
    </row>
    <row r="114">
      <c r="B114" s="37"/>
      <c r="C114" s="38"/>
      <c r="D114" s="38"/>
      <c r="I114" s="15" t="s">
        <v>86</v>
      </c>
      <c r="J114" s="15" t="s">
        <v>86</v>
      </c>
      <c r="K114" s="22">
        <v>0.0</v>
      </c>
    </row>
    <row r="115">
      <c r="B115" s="37"/>
      <c r="C115" s="38"/>
      <c r="D115" s="38"/>
      <c r="I115" s="15" t="s">
        <v>86</v>
      </c>
      <c r="J115" s="15" t="s">
        <v>86</v>
      </c>
      <c r="K115" s="22">
        <v>0.0</v>
      </c>
    </row>
    <row r="116">
      <c r="B116" s="37"/>
      <c r="C116" s="38"/>
      <c r="D116" s="38"/>
      <c r="I116" s="15" t="s">
        <v>86</v>
      </c>
      <c r="J116" s="15" t="s">
        <v>86</v>
      </c>
      <c r="K116" s="22">
        <v>0.0</v>
      </c>
    </row>
    <row r="117">
      <c r="B117" s="37"/>
      <c r="C117" s="38"/>
      <c r="D117" s="38"/>
      <c r="I117" s="15" t="s">
        <v>86</v>
      </c>
      <c r="J117" s="15" t="s">
        <v>86</v>
      </c>
      <c r="K117" s="22">
        <v>0.0</v>
      </c>
    </row>
    <row r="118">
      <c r="B118" s="37"/>
      <c r="C118" s="38"/>
      <c r="D118" s="38"/>
      <c r="I118" s="15" t="s">
        <v>86</v>
      </c>
      <c r="J118" s="15" t="s">
        <v>86</v>
      </c>
      <c r="K118" s="22">
        <v>0.0</v>
      </c>
    </row>
    <row r="119">
      <c r="B119" s="37"/>
      <c r="C119" s="38"/>
      <c r="D119" s="38"/>
      <c r="I119" s="15" t="s">
        <v>86</v>
      </c>
      <c r="J119" s="15" t="s">
        <v>86</v>
      </c>
      <c r="K119" s="22">
        <v>0.0</v>
      </c>
    </row>
    <row r="120">
      <c r="B120" s="37"/>
      <c r="C120" s="38"/>
      <c r="D120" s="38"/>
      <c r="I120" s="15" t="s">
        <v>86</v>
      </c>
      <c r="J120" s="15" t="s">
        <v>86</v>
      </c>
      <c r="K120" s="22">
        <v>0.0</v>
      </c>
    </row>
    <row r="121">
      <c r="B121" s="37"/>
      <c r="C121" s="38"/>
      <c r="D121" s="38"/>
      <c r="I121" s="15" t="s">
        <v>86</v>
      </c>
      <c r="J121" s="15" t="s">
        <v>86</v>
      </c>
      <c r="K121" s="22">
        <v>0.0</v>
      </c>
    </row>
    <row r="122">
      <c r="B122" s="37"/>
      <c r="C122" s="38"/>
      <c r="D122" s="38"/>
      <c r="I122" s="15" t="s">
        <v>86</v>
      </c>
      <c r="J122" s="15" t="s">
        <v>86</v>
      </c>
      <c r="K122" s="22">
        <v>0.0</v>
      </c>
    </row>
    <row r="123">
      <c r="B123" s="37"/>
      <c r="C123" s="38"/>
      <c r="D123" s="38"/>
      <c r="I123" s="15" t="s">
        <v>86</v>
      </c>
      <c r="J123" s="15" t="s">
        <v>86</v>
      </c>
      <c r="K123" s="22">
        <v>0.0</v>
      </c>
    </row>
    <row r="124">
      <c r="B124" s="37"/>
      <c r="C124" s="38"/>
      <c r="D124" s="38"/>
      <c r="I124" s="15" t="s">
        <v>86</v>
      </c>
      <c r="J124" s="15" t="s">
        <v>86</v>
      </c>
      <c r="K124" s="22">
        <v>0.0</v>
      </c>
    </row>
    <row r="125">
      <c r="B125" s="37"/>
      <c r="C125" s="38"/>
      <c r="D125" s="38"/>
      <c r="I125" s="15" t="s">
        <v>86</v>
      </c>
      <c r="J125" s="15" t="s">
        <v>86</v>
      </c>
      <c r="K125" s="22">
        <v>0.0</v>
      </c>
    </row>
    <row r="126">
      <c r="B126" s="37"/>
      <c r="C126" s="38"/>
      <c r="D126" s="38"/>
      <c r="I126" s="15" t="s">
        <v>86</v>
      </c>
      <c r="J126" s="15" t="s">
        <v>86</v>
      </c>
      <c r="K126" s="22">
        <v>0.0</v>
      </c>
    </row>
    <row r="127">
      <c r="B127" s="37"/>
      <c r="C127" s="38"/>
      <c r="D127" s="38"/>
      <c r="I127" s="15" t="s">
        <v>86</v>
      </c>
      <c r="J127" s="15" t="s">
        <v>86</v>
      </c>
      <c r="K127" s="22">
        <v>0.0</v>
      </c>
    </row>
    <row r="128">
      <c r="B128" s="37"/>
      <c r="C128" s="38"/>
      <c r="D128" s="38"/>
      <c r="I128" s="15" t="s">
        <v>86</v>
      </c>
      <c r="J128" s="15" t="s">
        <v>86</v>
      </c>
      <c r="K128" s="22">
        <v>0.0</v>
      </c>
    </row>
    <row r="129">
      <c r="B129" s="37"/>
      <c r="C129" s="38"/>
      <c r="D129" s="38"/>
      <c r="I129" s="15" t="s">
        <v>86</v>
      </c>
      <c r="J129" s="15" t="s">
        <v>86</v>
      </c>
      <c r="K129" s="22">
        <v>0.0</v>
      </c>
    </row>
    <row r="130">
      <c r="B130" s="37"/>
      <c r="C130" s="38"/>
      <c r="D130" s="38"/>
      <c r="I130" s="15" t="s">
        <v>86</v>
      </c>
      <c r="J130" s="15" t="s">
        <v>86</v>
      </c>
      <c r="K130" s="22">
        <v>0.0</v>
      </c>
    </row>
    <row r="131">
      <c r="B131" s="37"/>
      <c r="C131" s="38"/>
      <c r="D131" s="38"/>
      <c r="I131" s="15" t="s">
        <v>86</v>
      </c>
      <c r="J131" s="15" t="s">
        <v>86</v>
      </c>
      <c r="K131" s="22">
        <v>0.0</v>
      </c>
    </row>
    <row r="132">
      <c r="B132" s="37"/>
      <c r="C132" s="38"/>
      <c r="D132" s="38"/>
      <c r="I132" s="15" t="s">
        <v>86</v>
      </c>
      <c r="J132" s="15" t="s">
        <v>86</v>
      </c>
      <c r="K132" s="22">
        <v>0.0</v>
      </c>
    </row>
    <row r="133">
      <c r="B133" s="37"/>
      <c r="C133" s="38"/>
      <c r="D133" s="38"/>
      <c r="I133" s="15" t="s">
        <v>86</v>
      </c>
      <c r="J133" s="15" t="s">
        <v>86</v>
      </c>
      <c r="K133" s="22">
        <v>0.0</v>
      </c>
    </row>
    <row r="134">
      <c r="B134" s="37"/>
      <c r="C134" s="38"/>
      <c r="D134" s="38"/>
      <c r="I134" s="15" t="s">
        <v>86</v>
      </c>
      <c r="J134" s="15" t="s">
        <v>86</v>
      </c>
      <c r="K134" s="22">
        <v>0.0</v>
      </c>
    </row>
    <row r="135">
      <c r="B135" s="37"/>
      <c r="C135" s="38"/>
      <c r="D135" s="38"/>
      <c r="I135" s="15" t="s">
        <v>86</v>
      </c>
      <c r="J135" s="15" t="s">
        <v>86</v>
      </c>
      <c r="K135" s="22">
        <v>0.0</v>
      </c>
    </row>
    <row r="136">
      <c r="B136" s="37"/>
      <c r="C136" s="38"/>
      <c r="D136" s="38"/>
      <c r="I136" s="15" t="s">
        <v>86</v>
      </c>
      <c r="J136" s="15" t="s">
        <v>86</v>
      </c>
      <c r="K136" s="22">
        <v>0.0</v>
      </c>
    </row>
    <row r="137">
      <c r="B137" s="37"/>
      <c r="C137" s="38"/>
      <c r="D137" s="38"/>
      <c r="I137" s="15" t="s">
        <v>86</v>
      </c>
      <c r="J137" s="15" t="s">
        <v>86</v>
      </c>
      <c r="K137" s="22">
        <v>0.0</v>
      </c>
    </row>
    <row r="138">
      <c r="B138" s="37"/>
      <c r="C138" s="38"/>
      <c r="D138" s="38"/>
      <c r="I138" s="15" t="s">
        <v>86</v>
      </c>
      <c r="J138" s="15" t="s">
        <v>86</v>
      </c>
      <c r="K138" s="22">
        <v>0.0</v>
      </c>
    </row>
    <row r="139">
      <c r="B139" s="37"/>
      <c r="C139" s="38"/>
      <c r="D139" s="38"/>
      <c r="I139" s="15" t="s">
        <v>86</v>
      </c>
      <c r="J139" s="15" t="s">
        <v>86</v>
      </c>
      <c r="K139" s="22">
        <v>0.0</v>
      </c>
    </row>
    <row r="140">
      <c r="B140" s="37"/>
      <c r="C140" s="38"/>
      <c r="D140" s="38"/>
      <c r="I140" s="15" t="s">
        <v>86</v>
      </c>
      <c r="J140" s="15" t="s">
        <v>86</v>
      </c>
      <c r="K140" s="22">
        <v>0.0</v>
      </c>
    </row>
    <row r="141">
      <c r="B141" s="37"/>
      <c r="C141" s="38"/>
      <c r="D141" s="38"/>
      <c r="I141" s="15" t="s">
        <v>86</v>
      </c>
      <c r="J141" s="15" t="s">
        <v>86</v>
      </c>
      <c r="K141" s="22">
        <v>0.0</v>
      </c>
    </row>
    <row r="142">
      <c r="B142" s="37"/>
      <c r="C142" s="38"/>
      <c r="D142" s="38"/>
      <c r="I142" s="15" t="s">
        <v>86</v>
      </c>
      <c r="J142" s="15" t="s">
        <v>86</v>
      </c>
      <c r="K142" s="22">
        <v>0.0</v>
      </c>
    </row>
    <row r="143">
      <c r="B143" s="37"/>
      <c r="C143" s="38"/>
      <c r="D143" s="38"/>
      <c r="I143" s="15" t="s">
        <v>86</v>
      </c>
      <c r="J143" s="15" t="s">
        <v>86</v>
      </c>
      <c r="K143" s="22">
        <v>0.0</v>
      </c>
    </row>
    <row r="144">
      <c r="B144" s="37"/>
      <c r="C144" s="38"/>
      <c r="D144" s="38"/>
      <c r="I144" s="15" t="s">
        <v>86</v>
      </c>
      <c r="J144" s="15" t="s">
        <v>86</v>
      </c>
      <c r="K144" s="22">
        <v>0.0</v>
      </c>
    </row>
    <row r="145">
      <c r="B145" s="37"/>
      <c r="C145" s="38"/>
      <c r="D145" s="38"/>
      <c r="I145" s="15" t="s">
        <v>86</v>
      </c>
      <c r="J145" s="15" t="s">
        <v>86</v>
      </c>
      <c r="K145" s="22">
        <v>0.0</v>
      </c>
    </row>
    <row r="146">
      <c r="B146" s="37"/>
      <c r="C146" s="38"/>
      <c r="D146" s="38"/>
      <c r="I146" s="15" t="s">
        <v>86</v>
      </c>
      <c r="J146" s="15" t="s">
        <v>86</v>
      </c>
      <c r="K146" s="22">
        <v>0.0</v>
      </c>
    </row>
    <row r="147">
      <c r="B147" s="37"/>
      <c r="C147" s="38"/>
      <c r="D147" s="38"/>
      <c r="I147" s="15" t="s">
        <v>86</v>
      </c>
      <c r="J147" s="15" t="s">
        <v>86</v>
      </c>
      <c r="K147" s="22">
        <v>0.0</v>
      </c>
    </row>
    <row r="148">
      <c r="B148" s="37"/>
      <c r="C148" s="38"/>
      <c r="D148" s="38"/>
      <c r="I148" s="15" t="s">
        <v>86</v>
      </c>
      <c r="J148" s="15" t="s">
        <v>86</v>
      </c>
      <c r="K148" s="22">
        <v>0.0</v>
      </c>
    </row>
    <row r="149">
      <c r="B149" s="37"/>
      <c r="C149" s="38"/>
      <c r="D149" s="38"/>
      <c r="I149" s="15" t="s">
        <v>86</v>
      </c>
      <c r="J149" s="15" t="s">
        <v>86</v>
      </c>
      <c r="K149" s="22">
        <v>0.0</v>
      </c>
    </row>
    <row r="150">
      <c r="B150" s="37"/>
      <c r="C150" s="38"/>
      <c r="D150" s="38"/>
      <c r="I150" s="15" t="s">
        <v>86</v>
      </c>
      <c r="J150" s="15" t="s">
        <v>86</v>
      </c>
      <c r="K150" s="22">
        <v>0.0</v>
      </c>
    </row>
    <row r="151">
      <c r="B151" s="37"/>
      <c r="C151" s="38"/>
      <c r="D151" s="38"/>
      <c r="I151" s="15" t="s">
        <v>86</v>
      </c>
      <c r="J151" s="15" t="s">
        <v>86</v>
      </c>
      <c r="K151" s="22">
        <v>0.0</v>
      </c>
    </row>
    <row r="152">
      <c r="B152" s="37"/>
      <c r="C152" s="38"/>
      <c r="D152" s="38"/>
      <c r="I152" s="15" t="s">
        <v>86</v>
      </c>
      <c r="J152" s="15" t="s">
        <v>86</v>
      </c>
      <c r="K152" s="22">
        <v>0.0</v>
      </c>
    </row>
    <row r="153">
      <c r="B153" s="37"/>
      <c r="C153" s="38"/>
      <c r="D153" s="38"/>
      <c r="I153" s="15" t="s">
        <v>86</v>
      </c>
      <c r="J153" s="15" t="s">
        <v>86</v>
      </c>
      <c r="K153" s="22">
        <v>0.0</v>
      </c>
    </row>
    <row r="154">
      <c r="B154" s="37"/>
      <c r="C154" s="38"/>
      <c r="D154" s="38"/>
      <c r="I154" s="15" t="s">
        <v>86</v>
      </c>
      <c r="J154" s="15" t="s">
        <v>86</v>
      </c>
      <c r="K154" s="22">
        <v>0.0</v>
      </c>
    </row>
    <row r="155">
      <c r="B155" s="37"/>
      <c r="C155" s="38"/>
      <c r="D155" s="38"/>
      <c r="I155" s="15" t="s">
        <v>86</v>
      </c>
      <c r="J155" s="15" t="s">
        <v>86</v>
      </c>
      <c r="K155" s="22">
        <v>0.0</v>
      </c>
    </row>
    <row r="156">
      <c r="B156" s="37"/>
      <c r="C156" s="38"/>
      <c r="D156" s="38"/>
      <c r="I156" s="15" t="s">
        <v>86</v>
      </c>
      <c r="J156" s="15" t="s">
        <v>86</v>
      </c>
      <c r="K156" s="22">
        <v>0.0</v>
      </c>
    </row>
    <row r="157">
      <c r="B157" s="37"/>
      <c r="C157" s="38"/>
      <c r="D157" s="38"/>
      <c r="I157" s="15" t="s">
        <v>86</v>
      </c>
      <c r="J157" s="15" t="s">
        <v>86</v>
      </c>
      <c r="K157" s="22">
        <v>0.0</v>
      </c>
    </row>
    <row r="158">
      <c r="B158" s="37"/>
      <c r="C158" s="38"/>
      <c r="D158" s="38"/>
      <c r="I158" s="15" t="s">
        <v>86</v>
      </c>
      <c r="J158" s="15" t="s">
        <v>86</v>
      </c>
      <c r="K158" s="22">
        <v>0.0</v>
      </c>
    </row>
    <row r="159">
      <c r="B159" s="37"/>
      <c r="C159" s="38"/>
      <c r="D159" s="38"/>
      <c r="I159" s="15" t="s">
        <v>86</v>
      </c>
      <c r="J159" s="15" t="s">
        <v>86</v>
      </c>
      <c r="K159" s="22">
        <v>0.0</v>
      </c>
    </row>
    <row r="160">
      <c r="B160" s="37"/>
      <c r="C160" s="38"/>
      <c r="D160" s="38"/>
      <c r="I160" s="15" t="s">
        <v>86</v>
      </c>
      <c r="J160" s="15" t="s">
        <v>86</v>
      </c>
      <c r="K160" s="22">
        <v>0.0</v>
      </c>
    </row>
    <row r="161">
      <c r="B161" s="37"/>
      <c r="C161" s="38"/>
      <c r="D161" s="38"/>
      <c r="I161" s="15" t="s">
        <v>86</v>
      </c>
      <c r="J161" s="15" t="s">
        <v>86</v>
      </c>
      <c r="K161" s="22">
        <v>0.0</v>
      </c>
    </row>
    <row r="162">
      <c r="B162" s="37"/>
      <c r="C162" s="38"/>
      <c r="D162" s="38"/>
      <c r="I162" s="15" t="s">
        <v>86</v>
      </c>
      <c r="J162" s="15" t="s">
        <v>86</v>
      </c>
      <c r="K162" s="22">
        <v>0.0</v>
      </c>
    </row>
    <row r="163">
      <c r="B163" s="37"/>
      <c r="C163" s="38"/>
      <c r="D163" s="38"/>
      <c r="I163" s="15" t="s">
        <v>86</v>
      </c>
      <c r="J163" s="15" t="s">
        <v>86</v>
      </c>
      <c r="K163" s="22">
        <v>0.0</v>
      </c>
    </row>
    <row r="164">
      <c r="B164" s="37"/>
      <c r="C164" s="38"/>
      <c r="D164" s="38"/>
      <c r="I164" s="15" t="s">
        <v>86</v>
      </c>
      <c r="J164" s="15" t="s">
        <v>86</v>
      </c>
      <c r="K164" s="22">
        <v>0.0</v>
      </c>
    </row>
    <row r="165">
      <c r="B165" s="37"/>
      <c r="C165" s="38"/>
      <c r="D165" s="38"/>
      <c r="I165" s="15" t="s">
        <v>86</v>
      </c>
      <c r="J165" s="15" t="s">
        <v>86</v>
      </c>
      <c r="K165" s="22">
        <v>0.0</v>
      </c>
    </row>
    <row r="166">
      <c r="B166" s="37"/>
      <c r="C166" s="38"/>
      <c r="D166" s="38"/>
      <c r="I166" s="15" t="s">
        <v>86</v>
      </c>
      <c r="J166" s="15" t="s">
        <v>86</v>
      </c>
      <c r="K166" s="22">
        <v>0.0</v>
      </c>
    </row>
    <row r="167">
      <c r="B167" s="37"/>
      <c r="C167" s="38"/>
      <c r="D167" s="38"/>
      <c r="I167" s="15" t="s">
        <v>86</v>
      </c>
      <c r="J167" s="15" t="s">
        <v>86</v>
      </c>
      <c r="K167" s="22">
        <v>0.0</v>
      </c>
    </row>
    <row r="168">
      <c r="B168" s="37"/>
      <c r="C168" s="38"/>
      <c r="D168" s="38"/>
      <c r="I168" s="15" t="s">
        <v>86</v>
      </c>
      <c r="J168" s="15" t="s">
        <v>86</v>
      </c>
      <c r="K168" s="22">
        <v>0.0</v>
      </c>
    </row>
    <row r="169">
      <c r="B169" s="37"/>
      <c r="C169" s="38"/>
      <c r="D169" s="38"/>
      <c r="I169" s="15" t="s">
        <v>86</v>
      </c>
      <c r="J169" s="15" t="s">
        <v>86</v>
      </c>
      <c r="K169" s="22">
        <v>0.0</v>
      </c>
    </row>
    <row r="170">
      <c r="B170" s="37"/>
      <c r="C170" s="38"/>
      <c r="D170" s="38"/>
      <c r="I170" s="15" t="s">
        <v>86</v>
      </c>
      <c r="J170" s="15" t="s">
        <v>86</v>
      </c>
      <c r="K170" s="22">
        <v>0.0</v>
      </c>
    </row>
    <row r="171">
      <c r="B171" s="37"/>
      <c r="C171" s="38"/>
      <c r="D171" s="38"/>
      <c r="I171" s="15" t="s">
        <v>86</v>
      </c>
      <c r="J171" s="15" t="s">
        <v>86</v>
      </c>
      <c r="K171" s="22">
        <v>0.0</v>
      </c>
    </row>
    <row r="172">
      <c r="B172" s="37"/>
      <c r="C172" s="38"/>
      <c r="D172" s="38"/>
      <c r="I172" s="15" t="s">
        <v>86</v>
      </c>
      <c r="J172" s="15" t="s">
        <v>86</v>
      </c>
      <c r="K172" s="22">
        <v>0.0</v>
      </c>
    </row>
    <row r="173">
      <c r="B173" s="37"/>
      <c r="C173" s="38"/>
      <c r="D173" s="38"/>
      <c r="I173" s="15" t="s">
        <v>86</v>
      </c>
      <c r="J173" s="15" t="s">
        <v>86</v>
      </c>
      <c r="K173" s="22">
        <v>0.0</v>
      </c>
    </row>
    <row r="174">
      <c r="B174" s="37"/>
      <c r="C174" s="38"/>
      <c r="D174" s="38"/>
      <c r="I174" s="15" t="s">
        <v>86</v>
      </c>
      <c r="J174" s="15" t="s">
        <v>86</v>
      </c>
      <c r="K174" s="22">
        <v>0.0</v>
      </c>
    </row>
    <row r="175">
      <c r="B175" s="37"/>
      <c r="C175" s="38"/>
      <c r="D175" s="38"/>
      <c r="I175" s="15" t="s">
        <v>86</v>
      </c>
      <c r="J175" s="15" t="s">
        <v>86</v>
      </c>
      <c r="K175" s="22">
        <v>0.0</v>
      </c>
    </row>
    <row r="176">
      <c r="B176" s="37"/>
      <c r="C176" s="38"/>
      <c r="D176" s="38"/>
      <c r="I176" s="15" t="s">
        <v>86</v>
      </c>
      <c r="J176" s="15" t="s">
        <v>86</v>
      </c>
      <c r="K176" s="22">
        <v>0.0</v>
      </c>
    </row>
    <row r="177">
      <c r="B177" s="37"/>
      <c r="C177" s="38"/>
      <c r="D177" s="38"/>
      <c r="I177" s="15" t="s">
        <v>86</v>
      </c>
      <c r="J177" s="15" t="s">
        <v>86</v>
      </c>
      <c r="K177" s="22">
        <v>0.0</v>
      </c>
    </row>
    <row r="178">
      <c r="B178" s="37"/>
      <c r="C178" s="38"/>
      <c r="D178" s="38"/>
      <c r="I178" s="15" t="s">
        <v>86</v>
      </c>
      <c r="J178" s="15" t="s">
        <v>86</v>
      </c>
      <c r="K178" s="22">
        <v>0.0</v>
      </c>
    </row>
    <row r="179">
      <c r="B179" s="37"/>
      <c r="C179" s="38"/>
      <c r="D179" s="38"/>
      <c r="I179" s="15" t="s">
        <v>86</v>
      </c>
      <c r="J179" s="15" t="s">
        <v>86</v>
      </c>
      <c r="K179" s="22">
        <v>0.0</v>
      </c>
    </row>
    <row r="180">
      <c r="B180" s="37"/>
      <c r="C180" s="38"/>
      <c r="D180" s="38"/>
      <c r="I180" s="15" t="s">
        <v>86</v>
      </c>
      <c r="J180" s="15" t="s">
        <v>86</v>
      </c>
      <c r="K180" s="22">
        <v>0.0</v>
      </c>
    </row>
    <row r="181">
      <c r="B181" s="37"/>
      <c r="C181" s="38"/>
      <c r="D181" s="38"/>
      <c r="I181" s="15" t="s">
        <v>86</v>
      </c>
      <c r="J181" s="15" t="s">
        <v>86</v>
      </c>
      <c r="K181" s="22">
        <v>0.0</v>
      </c>
    </row>
    <row r="182">
      <c r="B182" s="37"/>
      <c r="C182" s="38"/>
      <c r="D182" s="38"/>
      <c r="I182" s="15" t="s">
        <v>86</v>
      </c>
      <c r="J182" s="15" t="s">
        <v>86</v>
      </c>
      <c r="K182" s="22">
        <v>0.0</v>
      </c>
    </row>
    <row r="183">
      <c r="B183" s="37"/>
      <c r="C183" s="38"/>
      <c r="D183" s="38"/>
      <c r="I183" s="15" t="s">
        <v>86</v>
      </c>
      <c r="J183" s="15" t="s">
        <v>86</v>
      </c>
      <c r="K183" s="22">
        <v>0.0</v>
      </c>
    </row>
    <row r="184">
      <c r="B184" s="37"/>
      <c r="C184" s="38"/>
      <c r="D184" s="38"/>
      <c r="I184" s="15" t="s">
        <v>86</v>
      </c>
      <c r="J184" s="15" t="s">
        <v>86</v>
      </c>
      <c r="K184" s="22">
        <v>0.0</v>
      </c>
    </row>
    <row r="185">
      <c r="B185" s="37"/>
      <c r="C185" s="38"/>
      <c r="D185" s="38"/>
      <c r="I185" s="15" t="s">
        <v>86</v>
      </c>
      <c r="J185" s="15" t="s">
        <v>86</v>
      </c>
      <c r="K185" s="22">
        <v>0.0</v>
      </c>
    </row>
    <row r="186">
      <c r="B186" s="37"/>
      <c r="C186" s="38"/>
      <c r="D186" s="38"/>
      <c r="I186" s="15" t="s">
        <v>86</v>
      </c>
      <c r="J186" s="15" t="s">
        <v>86</v>
      </c>
      <c r="K186" s="22">
        <v>0.0</v>
      </c>
    </row>
    <row r="187">
      <c r="B187" s="37"/>
      <c r="C187" s="38"/>
      <c r="D187" s="38"/>
      <c r="I187" s="15" t="s">
        <v>86</v>
      </c>
      <c r="J187" s="15" t="s">
        <v>86</v>
      </c>
      <c r="K187" s="22">
        <v>0.0</v>
      </c>
    </row>
    <row r="188">
      <c r="B188" s="37"/>
      <c r="C188" s="38"/>
      <c r="D188" s="38"/>
      <c r="I188" s="15" t="s">
        <v>86</v>
      </c>
      <c r="J188" s="15" t="s">
        <v>86</v>
      </c>
      <c r="K188" s="22">
        <v>0.0</v>
      </c>
    </row>
    <row r="189">
      <c r="B189" s="37"/>
      <c r="C189" s="38"/>
      <c r="D189" s="38"/>
      <c r="I189" s="15" t="s">
        <v>86</v>
      </c>
      <c r="J189" s="15" t="s">
        <v>86</v>
      </c>
      <c r="K189" s="22">
        <v>0.0</v>
      </c>
    </row>
    <row r="190">
      <c r="B190" s="37"/>
      <c r="C190" s="38"/>
      <c r="D190" s="38"/>
      <c r="I190" s="15" t="s">
        <v>86</v>
      </c>
      <c r="J190" s="15" t="s">
        <v>86</v>
      </c>
      <c r="K190" s="22">
        <v>0.0</v>
      </c>
    </row>
    <row r="191">
      <c r="B191" s="37"/>
      <c r="C191" s="38"/>
      <c r="D191" s="38"/>
      <c r="I191" s="15" t="s">
        <v>86</v>
      </c>
      <c r="J191" s="15" t="s">
        <v>86</v>
      </c>
      <c r="K191" s="22">
        <v>0.0</v>
      </c>
    </row>
    <row r="192">
      <c r="B192" s="37"/>
      <c r="C192" s="38"/>
      <c r="D192" s="38"/>
      <c r="I192" s="15" t="s">
        <v>86</v>
      </c>
      <c r="J192" s="15" t="s">
        <v>86</v>
      </c>
      <c r="K192" s="22">
        <v>0.0</v>
      </c>
    </row>
    <row r="193">
      <c r="B193" s="37"/>
      <c r="C193" s="38"/>
      <c r="D193" s="38"/>
      <c r="I193" s="15" t="s">
        <v>86</v>
      </c>
      <c r="J193" s="15" t="s">
        <v>86</v>
      </c>
      <c r="K193" s="22">
        <v>0.0</v>
      </c>
    </row>
    <row r="194">
      <c r="B194" s="37"/>
      <c r="C194" s="38"/>
      <c r="D194" s="38"/>
      <c r="I194" s="15" t="s">
        <v>86</v>
      </c>
      <c r="J194" s="15" t="s">
        <v>86</v>
      </c>
      <c r="K194" s="22">
        <v>0.0</v>
      </c>
    </row>
    <row r="195">
      <c r="B195" s="37"/>
      <c r="C195" s="38"/>
      <c r="D195" s="38"/>
      <c r="I195" s="15" t="s">
        <v>86</v>
      </c>
      <c r="J195" s="15" t="s">
        <v>86</v>
      </c>
      <c r="K195" s="22">
        <v>0.0</v>
      </c>
    </row>
    <row r="196">
      <c r="B196" s="37"/>
      <c r="C196" s="38"/>
      <c r="D196" s="38"/>
      <c r="I196" s="15" t="s">
        <v>86</v>
      </c>
      <c r="J196" s="15" t="s">
        <v>86</v>
      </c>
      <c r="K196" s="22">
        <v>0.0</v>
      </c>
    </row>
    <row r="197">
      <c r="B197" s="37"/>
      <c r="C197" s="38"/>
      <c r="D197" s="38"/>
      <c r="I197" s="15" t="s">
        <v>86</v>
      </c>
      <c r="J197" s="15" t="s">
        <v>86</v>
      </c>
      <c r="K197" s="22">
        <v>0.0</v>
      </c>
    </row>
    <row r="198">
      <c r="B198" s="37"/>
      <c r="C198" s="38"/>
      <c r="D198" s="38"/>
      <c r="I198" s="15" t="s">
        <v>86</v>
      </c>
      <c r="J198" s="15" t="s">
        <v>86</v>
      </c>
      <c r="K198" s="22">
        <v>0.0</v>
      </c>
    </row>
    <row r="199">
      <c r="B199" s="37"/>
      <c r="C199" s="38"/>
      <c r="D199" s="38"/>
      <c r="I199" s="15" t="s">
        <v>86</v>
      </c>
      <c r="J199" s="15" t="s">
        <v>86</v>
      </c>
      <c r="K199" s="22">
        <v>0.0</v>
      </c>
    </row>
    <row r="200">
      <c r="B200" s="37"/>
      <c r="C200" s="38"/>
      <c r="D200" s="38"/>
      <c r="I200" s="15" t="s">
        <v>86</v>
      </c>
      <c r="J200" s="15" t="s">
        <v>86</v>
      </c>
      <c r="K200" s="22">
        <v>0.0</v>
      </c>
    </row>
    <row r="201">
      <c r="B201" s="37"/>
      <c r="C201" s="38"/>
      <c r="D201" s="38"/>
      <c r="I201" s="15" t="s">
        <v>86</v>
      </c>
      <c r="J201" s="15" t="s">
        <v>86</v>
      </c>
      <c r="K201" s="22">
        <v>0.0</v>
      </c>
    </row>
    <row r="202">
      <c r="B202" s="37"/>
      <c r="C202" s="38"/>
      <c r="D202" s="38"/>
      <c r="I202" s="15" t="s">
        <v>86</v>
      </c>
      <c r="J202" s="15" t="s">
        <v>86</v>
      </c>
      <c r="K202" s="22">
        <v>0.0</v>
      </c>
    </row>
    <row r="203">
      <c r="B203" s="37"/>
      <c r="C203" s="38"/>
      <c r="D203" s="38"/>
      <c r="I203" s="15" t="s">
        <v>86</v>
      </c>
      <c r="J203" s="15" t="s">
        <v>86</v>
      </c>
      <c r="K203" s="22">
        <v>0.0</v>
      </c>
    </row>
    <row r="204">
      <c r="B204" s="37"/>
      <c r="C204" s="38"/>
      <c r="D204" s="38"/>
      <c r="I204" s="15" t="s">
        <v>86</v>
      </c>
      <c r="J204" s="15" t="s">
        <v>86</v>
      </c>
      <c r="K204" s="22">
        <v>0.0</v>
      </c>
    </row>
    <row r="205">
      <c r="B205" s="37"/>
      <c r="C205" s="38"/>
      <c r="D205" s="38"/>
      <c r="I205" s="15" t="s">
        <v>86</v>
      </c>
      <c r="J205" s="15" t="s">
        <v>86</v>
      </c>
      <c r="K205" s="22">
        <v>0.0</v>
      </c>
    </row>
    <row r="206">
      <c r="B206" s="37"/>
      <c r="C206" s="38"/>
      <c r="D206" s="38"/>
      <c r="I206" s="15" t="s">
        <v>86</v>
      </c>
      <c r="J206" s="15" t="s">
        <v>86</v>
      </c>
      <c r="K206" s="22">
        <v>0.0</v>
      </c>
    </row>
    <row r="207">
      <c r="B207" s="37"/>
      <c r="C207" s="38"/>
      <c r="D207" s="38"/>
      <c r="I207" s="15" t="s">
        <v>86</v>
      </c>
      <c r="J207" s="15" t="s">
        <v>86</v>
      </c>
      <c r="K207" s="22">
        <v>0.0</v>
      </c>
    </row>
    <row r="208">
      <c r="B208" s="37"/>
      <c r="C208" s="38"/>
      <c r="D208" s="38"/>
      <c r="I208" s="15" t="s">
        <v>86</v>
      </c>
      <c r="J208" s="15" t="s">
        <v>86</v>
      </c>
      <c r="K208" s="22">
        <v>0.0</v>
      </c>
    </row>
    <row r="209">
      <c r="B209" s="37"/>
      <c r="C209" s="38"/>
      <c r="D209" s="38"/>
      <c r="I209" s="15" t="s">
        <v>86</v>
      </c>
      <c r="J209" s="15" t="s">
        <v>86</v>
      </c>
      <c r="K209" s="22">
        <v>0.0</v>
      </c>
    </row>
    <row r="210">
      <c r="B210" s="37"/>
      <c r="C210" s="38"/>
      <c r="D210" s="38"/>
      <c r="I210" s="15" t="s">
        <v>86</v>
      </c>
      <c r="J210" s="15" t="s">
        <v>86</v>
      </c>
      <c r="K210" s="22">
        <v>0.0</v>
      </c>
    </row>
    <row r="211">
      <c r="B211" s="37"/>
      <c r="C211" s="38"/>
      <c r="D211" s="38"/>
      <c r="I211" s="15" t="s">
        <v>86</v>
      </c>
      <c r="J211" s="15" t="s">
        <v>86</v>
      </c>
      <c r="K211" s="22">
        <v>0.0</v>
      </c>
    </row>
    <row r="212">
      <c r="B212" s="37"/>
      <c r="C212" s="38"/>
      <c r="D212" s="38"/>
      <c r="I212" s="15" t="s">
        <v>86</v>
      </c>
      <c r="J212" s="15" t="s">
        <v>86</v>
      </c>
      <c r="K212" s="22">
        <v>0.0</v>
      </c>
    </row>
    <row r="213">
      <c r="B213" s="37"/>
      <c r="C213" s="38"/>
      <c r="D213" s="38"/>
      <c r="I213" s="15" t="s">
        <v>86</v>
      </c>
      <c r="J213" s="15" t="s">
        <v>86</v>
      </c>
      <c r="K213" s="22">
        <v>0.0</v>
      </c>
    </row>
    <row r="214">
      <c r="B214" s="37"/>
      <c r="C214" s="38"/>
      <c r="D214" s="38"/>
      <c r="I214" s="15" t="s">
        <v>86</v>
      </c>
      <c r="J214" s="15" t="s">
        <v>86</v>
      </c>
      <c r="K214" s="22">
        <v>0.0</v>
      </c>
    </row>
    <row r="215">
      <c r="B215" s="37"/>
      <c r="C215" s="38"/>
      <c r="D215" s="38"/>
      <c r="I215" s="15" t="s">
        <v>86</v>
      </c>
      <c r="J215" s="15" t="s">
        <v>86</v>
      </c>
      <c r="K215" s="22">
        <v>0.0</v>
      </c>
    </row>
    <row r="216">
      <c r="B216" s="37"/>
      <c r="C216" s="38"/>
      <c r="D216" s="38"/>
      <c r="I216" s="15" t="s">
        <v>86</v>
      </c>
      <c r="J216" s="15" t="s">
        <v>86</v>
      </c>
      <c r="K216" s="22">
        <v>0.0</v>
      </c>
    </row>
    <row r="217">
      <c r="B217" s="37"/>
      <c r="C217" s="38"/>
      <c r="D217" s="38"/>
      <c r="I217" s="15" t="s">
        <v>86</v>
      </c>
      <c r="J217" s="15" t="s">
        <v>86</v>
      </c>
      <c r="K217" s="22">
        <v>0.0</v>
      </c>
    </row>
    <row r="218">
      <c r="B218" s="37"/>
      <c r="C218" s="38"/>
      <c r="D218" s="38"/>
      <c r="I218" s="15" t="s">
        <v>86</v>
      </c>
      <c r="J218" s="15" t="s">
        <v>86</v>
      </c>
      <c r="K218" s="22">
        <v>0.0</v>
      </c>
    </row>
    <row r="219">
      <c r="B219" s="37"/>
      <c r="C219" s="38"/>
      <c r="D219" s="38"/>
      <c r="I219" s="15" t="s">
        <v>86</v>
      </c>
      <c r="J219" s="15" t="s">
        <v>86</v>
      </c>
      <c r="K219" s="22">
        <v>0.0</v>
      </c>
    </row>
    <row r="220">
      <c r="B220" s="37"/>
      <c r="C220" s="38"/>
      <c r="D220" s="38"/>
      <c r="I220" s="15" t="s">
        <v>86</v>
      </c>
      <c r="J220" s="15" t="s">
        <v>86</v>
      </c>
      <c r="K220" s="22">
        <v>0.0</v>
      </c>
    </row>
    <row r="221">
      <c r="B221" s="37"/>
      <c r="C221" s="38"/>
      <c r="D221" s="38"/>
      <c r="I221" s="15" t="s">
        <v>86</v>
      </c>
      <c r="J221" s="15" t="s">
        <v>86</v>
      </c>
      <c r="K221" s="22">
        <v>0.0</v>
      </c>
    </row>
    <row r="222">
      <c r="B222" s="37"/>
      <c r="C222" s="38"/>
      <c r="D222" s="38"/>
      <c r="I222" s="15" t="s">
        <v>86</v>
      </c>
      <c r="J222" s="15" t="s">
        <v>86</v>
      </c>
      <c r="K222" s="22">
        <v>0.0</v>
      </c>
    </row>
    <row r="223">
      <c r="B223" s="37"/>
      <c r="C223" s="38"/>
      <c r="D223" s="38"/>
      <c r="I223" s="15" t="s">
        <v>86</v>
      </c>
      <c r="J223" s="15" t="s">
        <v>86</v>
      </c>
      <c r="K223" s="22">
        <v>0.0</v>
      </c>
    </row>
    <row r="224">
      <c r="B224" s="37"/>
      <c r="C224" s="38"/>
      <c r="D224" s="38"/>
      <c r="I224" s="15" t="s">
        <v>86</v>
      </c>
      <c r="J224" s="15" t="s">
        <v>86</v>
      </c>
      <c r="K224" s="22">
        <v>0.0</v>
      </c>
    </row>
    <row r="225">
      <c r="B225" s="37"/>
      <c r="C225" s="38"/>
      <c r="D225" s="38"/>
      <c r="I225" s="15" t="s">
        <v>86</v>
      </c>
      <c r="J225" s="15" t="s">
        <v>86</v>
      </c>
      <c r="K225" s="22">
        <v>0.0</v>
      </c>
    </row>
    <row r="226">
      <c r="B226" s="37"/>
      <c r="C226" s="38"/>
      <c r="D226" s="38"/>
      <c r="I226" s="15" t="s">
        <v>86</v>
      </c>
      <c r="J226" s="15" t="s">
        <v>86</v>
      </c>
      <c r="K226" s="22">
        <v>0.0</v>
      </c>
    </row>
    <row r="227">
      <c r="B227" s="37"/>
      <c r="C227" s="38"/>
      <c r="D227" s="38"/>
      <c r="I227" s="15" t="s">
        <v>86</v>
      </c>
      <c r="J227" s="15" t="s">
        <v>86</v>
      </c>
      <c r="K227" s="22">
        <v>0.0</v>
      </c>
    </row>
    <row r="228">
      <c r="B228" s="37"/>
      <c r="C228" s="38"/>
      <c r="D228" s="38"/>
      <c r="I228" s="15" t="s">
        <v>86</v>
      </c>
      <c r="J228" s="15" t="s">
        <v>86</v>
      </c>
      <c r="K228" s="22">
        <v>0.0</v>
      </c>
    </row>
    <row r="229">
      <c r="B229" s="37"/>
      <c r="C229" s="38"/>
      <c r="D229" s="38"/>
      <c r="I229" s="15" t="s">
        <v>86</v>
      </c>
      <c r="J229" s="15" t="s">
        <v>86</v>
      </c>
      <c r="K229" s="22">
        <v>0.0</v>
      </c>
    </row>
    <row r="230">
      <c r="B230" s="37"/>
      <c r="C230" s="38"/>
      <c r="D230" s="38"/>
      <c r="I230" s="15" t="s">
        <v>86</v>
      </c>
      <c r="J230" s="15" t="s">
        <v>86</v>
      </c>
      <c r="K230" s="22">
        <v>0.0</v>
      </c>
    </row>
    <row r="231">
      <c r="B231" s="37"/>
      <c r="C231" s="38"/>
      <c r="D231" s="38"/>
      <c r="I231" s="15" t="s">
        <v>86</v>
      </c>
      <c r="J231" s="15" t="s">
        <v>86</v>
      </c>
      <c r="K231" s="22">
        <v>0.0</v>
      </c>
    </row>
    <row r="232">
      <c r="B232" s="37"/>
      <c r="C232" s="38"/>
      <c r="D232" s="38"/>
      <c r="I232" s="15" t="s">
        <v>86</v>
      </c>
      <c r="J232" s="15" t="s">
        <v>86</v>
      </c>
      <c r="K232" s="22">
        <v>0.0</v>
      </c>
    </row>
    <row r="233">
      <c r="B233" s="37"/>
      <c r="C233" s="38"/>
      <c r="D233" s="38"/>
      <c r="I233" s="15" t="s">
        <v>86</v>
      </c>
      <c r="J233" s="15" t="s">
        <v>86</v>
      </c>
      <c r="K233" s="22">
        <v>0.0</v>
      </c>
    </row>
    <row r="234">
      <c r="B234" s="37"/>
      <c r="C234" s="38"/>
      <c r="D234" s="38"/>
      <c r="I234" s="15" t="s">
        <v>86</v>
      </c>
      <c r="J234" s="15" t="s">
        <v>86</v>
      </c>
      <c r="K234" s="22">
        <v>0.0</v>
      </c>
    </row>
    <row r="235">
      <c r="B235" s="37"/>
      <c r="C235" s="38"/>
      <c r="D235" s="38"/>
      <c r="I235" s="15" t="s">
        <v>86</v>
      </c>
      <c r="J235" s="15" t="s">
        <v>86</v>
      </c>
      <c r="K235" s="22">
        <v>0.0</v>
      </c>
    </row>
    <row r="236">
      <c r="B236" s="37"/>
      <c r="C236" s="38"/>
      <c r="D236" s="38"/>
      <c r="I236" s="15" t="s">
        <v>86</v>
      </c>
      <c r="J236" s="15" t="s">
        <v>86</v>
      </c>
      <c r="K236" s="22">
        <v>0.0</v>
      </c>
    </row>
    <row r="237">
      <c r="B237" s="37"/>
      <c r="C237" s="38"/>
      <c r="D237" s="38"/>
      <c r="I237" s="15" t="s">
        <v>86</v>
      </c>
      <c r="J237" s="15" t="s">
        <v>86</v>
      </c>
      <c r="K237" s="22">
        <v>0.0</v>
      </c>
    </row>
    <row r="238">
      <c r="B238" s="37"/>
      <c r="C238" s="38"/>
      <c r="D238" s="38"/>
      <c r="I238" s="15" t="s">
        <v>86</v>
      </c>
      <c r="J238" s="15" t="s">
        <v>86</v>
      </c>
      <c r="K238" s="22">
        <v>0.0</v>
      </c>
    </row>
    <row r="239">
      <c r="B239" s="37"/>
      <c r="C239" s="38"/>
      <c r="D239" s="38"/>
      <c r="I239" s="15" t="s">
        <v>86</v>
      </c>
      <c r="J239" s="15" t="s">
        <v>86</v>
      </c>
      <c r="K239" s="22">
        <v>0.0</v>
      </c>
    </row>
    <row r="240">
      <c r="B240" s="37"/>
      <c r="C240" s="38"/>
      <c r="D240" s="38"/>
      <c r="I240" s="15" t="s">
        <v>86</v>
      </c>
      <c r="J240" s="15" t="s">
        <v>86</v>
      </c>
      <c r="K240" s="22">
        <v>0.0</v>
      </c>
    </row>
    <row r="241">
      <c r="B241" s="37"/>
      <c r="C241" s="38"/>
      <c r="D241" s="38"/>
      <c r="I241" s="15" t="s">
        <v>86</v>
      </c>
      <c r="J241" s="15" t="s">
        <v>86</v>
      </c>
      <c r="K241" s="22">
        <v>0.0</v>
      </c>
    </row>
    <row r="242">
      <c r="B242" s="37"/>
      <c r="C242" s="38"/>
      <c r="D242" s="38"/>
      <c r="I242" s="15" t="s">
        <v>86</v>
      </c>
      <c r="J242" s="15" t="s">
        <v>86</v>
      </c>
      <c r="K242" s="22">
        <v>0.0</v>
      </c>
    </row>
    <row r="243">
      <c r="B243" s="37"/>
      <c r="C243" s="38"/>
      <c r="D243" s="38"/>
      <c r="I243" s="15" t="s">
        <v>86</v>
      </c>
      <c r="J243" s="15" t="s">
        <v>86</v>
      </c>
      <c r="K243" s="22">
        <v>0.0</v>
      </c>
    </row>
    <row r="244">
      <c r="B244" s="37"/>
      <c r="C244" s="38"/>
      <c r="D244" s="38"/>
      <c r="I244" s="15" t="s">
        <v>86</v>
      </c>
      <c r="J244" s="15" t="s">
        <v>86</v>
      </c>
      <c r="K244" s="22">
        <v>0.0</v>
      </c>
    </row>
    <row r="245">
      <c r="B245" s="37"/>
      <c r="C245" s="38"/>
      <c r="D245" s="38"/>
      <c r="I245" s="15" t="s">
        <v>86</v>
      </c>
      <c r="J245" s="15" t="s">
        <v>86</v>
      </c>
      <c r="K245" s="22">
        <v>0.0</v>
      </c>
    </row>
    <row r="246">
      <c r="B246" s="37"/>
      <c r="C246" s="38"/>
      <c r="D246" s="38"/>
      <c r="I246" s="15" t="s">
        <v>86</v>
      </c>
      <c r="J246" s="15" t="s">
        <v>86</v>
      </c>
      <c r="K246" s="22">
        <v>0.0</v>
      </c>
    </row>
    <row r="247">
      <c r="B247" s="37"/>
      <c r="C247" s="38"/>
      <c r="D247" s="38"/>
      <c r="I247" s="15" t="s">
        <v>86</v>
      </c>
      <c r="J247" s="15" t="s">
        <v>86</v>
      </c>
      <c r="K247" s="22">
        <v>0.0</v>
      </c>
    </row>
    <row r="248">
      <c r="B248" s="37"/>
      <c r="C248" s="38"/>
      <c r="D248" s="38"/>
      <c r="I248" s="15" t="s">
        <v>86</v>
      </c>
      <c r="J248" s="15" t="s">
        <v>86</v>
      </c>
      <c r="K248" s="22">
        <v>0.0</v>
      </c>
    </row>
    <row r="249">
      <c r="B249" s="37"/>
      <c r="C249" s="38"/>
      <c r="D249" s="38"/>
      <c r="I249" s="15" t="s">
        <v>86</v>
      </c>
      <c r="J249" s="15" t="s">
        <v>86</v>
      </c>
      <c r="K249" s="22">
        <v>0.0</v>
      </c>
    </row>
    <row r="250">
      <c r="B250" s="37"/>
      <c r="C250" s="38"/>
      <c r="D250" s="38"/>
      <c r="I250" s="15" t="s">
        <v>86</v>
      </c>
      <c r="J250" s="15" t="s">
        <v>86</v>
      </c>
      <c r="K250" s="22">
        <v>0.0</v>
      </c>
    </row>
    <row r="251">
      <c r="B251" s="37"/>
      <c r="C251" s="38"/>
      <c r="D251" s="38"/>
      <c r="I251" s="15" t="s">
        <v>86</v>
      </c>
      <c r="J251" s="15" t="s">
        <v>86</v>
      </c>
      <c r="K251" s="22">
        <v>0.0</v>
      </c>
    </row>
    <row r="252">
      <c r="B252" s="37"/>
      <c r="C252" s="38"/>
      <c r="D252" s="38"/>
      <c r="I252" s="15" t="s">
        <v>86</v>
      </c>
      <c r="J252" s="15" t="s">
        <v>86</v>
      </c>
      <c r="K252" s="22">
        <v>0.0</v>
      </c>
    </row>
    <row r="253">
      <c r="B253" s="37"/>
      <c r="C253" s="38"/>
      <c r="D253" s="38"/>
      <c r="I253" s="15" t="s">
        <v>86</v>
      </c>
      <c r="J253" s="15" t="s">
        <v>86</v>
      </c>
      <c r="K253" s="22">
        <v>0.0</v>
      </c>
    </row>
    <row r="254">
      <c r="B254" s="37"/>
      <c r="C254" s="38"/>
      <c r="D254" s="38"/>
      <c r="I254" s="15" t="s">
        <v>86</v>
      </c>
      <c r="J254" s="15" t="s">
        <v>86</v>
      </c>
      <c r="K254" s="22">
        <v>0.0</v>
      </c>
    </row>
    <row r="255">
      <c r="B255" s="37"/>
      <c r="C255" s="38"/>
      <c r="D255" s="38"/>
      <c r="I255" s="15" t="s">
        <v>86</v>
      </c>
      <c r="J255" s="15" t="s">
        <v>86</v>
      </c>
      <c r="K255" s="22">
        <v>0.0</v>
      </c>
    </row>
    <row r="256">
      <c r="B256" s="37"/>
      <c r="C256" s="38"/>
      <c r="D256" s="38"/>
      <c r="I256" s="15" t="s">
        <v>86</v>
      </c>
      <c r="J256" s="15" t="s">
        <v>86</v>
      </c>
      <c r="K256" s="22">
        <v>0.0</v>
      </c>
    </row>
    <row r="257">
      <c r="B257" s="37"/>
      <c r="C257" s="38"/>
      <c r="D257" s="38"/>
      <c r="I257" s="15" t="s">
        <v>86</v>
      </c>
      <c r="J257" s="15" t="s">
        <v>86</v>
      </c>
      <c r="K257" s="22">
        <v>0.0</v>
      </c>
    </row>
    <row r="258">
      <c r="B258" s="37"/>
      <c r="C258" s="38"/>
      <c r="D258" s="38"/>
      <c r="I258" s="15" t="s">
        <v>86</v>
      </c>
      <c r="J258" s="15" t="s">
        <v>86</v>
      </c>
      <c r="K258" s="22">
        <v>0.0</v>
      </c>
    </row>
    <row r="259">
      <c r="B259" s="37"/>
      <c r="C259" s="38"/>
      <c r="D259" s="38"/>
      <c r="I259" s="15" t="s">
        <v>86</v>
      </c>
      <c r="J259" s="15" t="s">
        <v>86</v>
      </c>
      <c r="K259" s="22">
        <v>0.0</v>
      </c>
    </row>
    <row r="260">
      <c r="B260" s="37"/>
      <c r="C260" s="38"/>
      <c r="D260" s="38"/>
      <c r="I260" s="15" t="s">
        <v>86</v>
      </c>
      <c r="J260" s="15" t="s">
        <v>86</v>
      </c>
      <c r="K260" s="22">
        <v>0.0</v>
      </c>
    </row>
    <row r="261">
      <c r="B261" s="37"/>
      <c r="C261" s="38"/>
      <c r="D261" s="38"/>
      <c r="I261" s="15" t="s">
        <v>86</v>
      </c>
      <c r="J261" s="15" t="s">
        <v>86</v>
      </c>
      <c r="K261" s="22">
        <v>0.0</v>
      </c>
    </row>
    <row r="262">
      <c r="B262" s="37"/>
      <c r="C262" s="38"/>
      <c r="D262" s="38"/>
      <c r="I262" s="15" t="s">
        <v>86</v>
      </c>
      <c r="J262" s="15" t="s">
        <v>86</v>
      </c>
      <c r="K262" s="22">
        <v>0.0</v>
      </c>
    </row>
    <row r="263">
      <c r="B263" s="37"/>
      <c r="C263" s="38"/>
      <c r="D263" s="38"/>
      <c r="I263" s="15" t="s">
        <v>86</v>
      </c>
      <c r="J263" s="15" t="s">
        <v>86</v>
      </c>
      <c r="K263" s="22">
        <v>0.0</v>
      </c>
    </row>
    <row r="264">
      <c r="B264" s="37"/>
      <c r="C264" s="38"/>
      <c r="D264" s="38"/>
      <c r="I264" s="15" t="s">
        <v>86</v>
      </c>
      <c r="J264" s="15" t="s">
        <v>86</v>
      </c>
      <c r="K264" s="22">
        <v>0.0</v>
      </c>
    </row>
    <row r="265">
      <c r="B265" s="37"/>
      <c r="C265" s="38"/>
      <c r="D265" s="38"/>
      <c r="I265" s="15" t="s">
        <v>86</v>
      </c>
      <c r="J265" s="15" t="s">
        <v>86</v>
      </c>
      <c r="K265" s="22">
        <v>0.0</v>
      </c>
    </row>
    <row r="266">
      <c r="B266" s="37"/>
      <c r="C266" s="38"/>
      <c r="D266" s="38"/>
      <c r="I266" s="15" t="s">
        <v>86</v>
      </c>
      <c r="J266" s="15" t="s">
        <v>86</v>
      </c>
      <c r="K266" s="22">
        <v>0.0</v>
      </c>
    </row>
    <row r="267">
      <c r="B267" s="37"/>
      <c r="C267" s="38"/>
      <c r="D267" s="38"/>
      <c r="I267" s="15" t="s">
        <v>86</v>
      </c>
      <c r="J267" s="15" t="s">
        <v>86</v>
      </c>
      <c r="K267" s="22">
        <v>0.0</v>
      </c>
    </row>
    <row r="268">
      <c r="B268" s="37"/>
      <c r="C268" s="38"/>
      <c r="D268" s="38"/>
      <c r="I268" s="15" t="s">
        <v>86</v>
      </c>
      <c r="J268" s="15" t="s">
        <v>86</v>
      </c>
      <c r="K268" s="22">
        <v>0.0</v>
      </c>
    </row>
    <row r="269">
      <c r="B269" s="37"/>
      <c r="C269" s="38"/>
      <c r="D269" s="38"/>
      <c r="I269" s="15" t="s">
        <v>86</v>
      </c>
      <c r="J269" s="15" t="s">
        <v>86</v>
      </c>
      <c r="K269" s="22">
        <v>0.0</v>
      </c>
    </row>
    <row r="270">
      <c r="B270" s="37"/>
      <c r="C270" s="38"/>
      <c r="D270" s="38"/>
      <c r="I270" s="15" t="s">
        <v>86</v>
      </c>
      <c r="J270" s="15" t="s">
        <v>86</v>
      </c>
      <c r="K270" s="22">
        <v>0.0</v>
      </c>
    </row>
    <row r="271">
      <c r="B271" s="37"/>
      <c r="C271" s="38"/>
      <c r="D271" s="38"/>
      <c r="I271" s="15" t="s">
        <v>86</v>
      </c>
      <c r="J271" s="15" t="s">
        <v>86</v>
      </c>
      <c r="K271" s="22">
        <v>0.0</v>
      </c>
    </row>
    <row r="272">
      <c r="B272" s="37"/>
      <c r="C272" s="38"/>
      <c r="D272" s="38"/>
      <c r="I272" s="15" t="s">
        <v>86</v>
      </c>
      <c r="J272" s="15" t="s">
        <v>86</v>
      </c>
      <c r="K272" s="22">
        <v>0.0</v>
      </c>
    </row>
    <row r="273">
      <c r="B273" s="37"/>
      <c r="C273" s="38"/>
      <c r="D273" s="38"/>
      <c r="I273" s="15" t="s">
        <v>86</v>
      </c>
      <c r="J273" s="15" t="s">
        <v>86</v>
      </c>
      <c r="K273" s="22">
        <v>0.0</v>
      </c>
    </row>
    <row r="274">
      <c r="B274" s="37"/>
      <c r="C274" s="38"/>
      <c r="D274" s="38"/>
      <c r="I274" s="15" t="s">
        <v>86</v>
      </c>
      <c r="J274" s="15" t="s">
        <v>86</v>
      </c>
      <c r="K274" s="22">
        <v>0.0</v>
      </c>
    </row>
    <row r="275">
      <c r="B275" s="37"/>
      <c r="C275" s="38"/>
      <c r="D275" s="38"/>
      <c r="I275" s="15" t="s">
        <v>86</v>
      </c>
      <c r="J275" s="15" t="s">
        <v>86</v>
      </c>
      <c r="K275" s="22">
        <v>0.0</v>
      </c>
    </row>
    <row r="276">
      <c r="B276" s="37"/>
      <c r="C276" s="38"/>
      <c r="D276" s="38"/>
      <c r="I276" s="15" t="s">
        <v>86</v>
      </c>
      <c r="J276" s="15" t="s">
        <v>86</v>
      </c>
      <c r="K276" s="22">
        <v>0.0</v>
      </c>
    </row>
    <row r="277">
      <c r="B277" s="37"/>
      <c r="C277" s="38"/>
      <c r="D277" s="38"/>
      <c r="I277" s="15" t="s">
        <v>86</v>
      </c>
      <c r="J277" s="15" t="s">
        <v>86</v>
      </c>
      <c r="K277" s="22">
        <v>0.0</v>
      </c>
    </row>
    <row r="278">
      <c r="B278" s="37"/>
      <c r="C278" s="38"/>
      <c r="D278" s="38"/>
      <c r="I278" s="15" t="s">
        <v>86</v>
      </c>
      <c r="J278" s="15" t="s">
        <v>86</v>
      </c>
      <c r="K278" s="22">
        <v>0.0</v>
      </c>
    </row>
    <row r="279">
      <c r="B279" s="37"/>
      <c r="C279" s="38"/>
      <c r="D279" s="38"/>
      <c r="I279" s="15" t="s">
        <v>86</v>
      </c>
      <c r="J279" s="15" t="s">
        <v>86</v>
      </c>
      <c r="K279" s="22">
        <v>0.0</v>
      </c>
    </row>
    <row r="280">
      <c r="B280" s="37"/>
      <c r="C280" s="38"/>
      <c r="D280" s="38"/>
      <c r="I280" s="15" t="s">
        <v>86</v>
      </c>
      <c r="J280" s="15" t="s">
        <v>86</v>
      </c>
      <c r="K280" s="22">
        <v>0.0</v>
      </c>
    </row>
    <row r="281">
      <c r="B281" s="37"/>
      <c r="C281" s="38"/>
      <c r="D281" s="38"/>
      <c r="I281" s="15" t="s">
        <v>86</v>
      </c>
      <c r="J281" s="15" t="s">
        <v>86</v>
      </c>
      <c r="K281" s="22">
        <v>0.0</v>
      </c>
    </row>
    <row r="282">
      <c r="B282" s="37"/>
      <c r="C282" s="38"/>
      <c r="D282" s="38"/>
      <c r="I282" s="15" t="s">
        <v>86</v>
      </c>
      <c r="J282" s="15" t="s">
        <v>86</v>
      </c>
      <c r="K282" s="22">
        <v>0.0</v>
      </c>
    </row>
    <row r="283">
      <c r="B283" s="37"/>
      <c r="C283" s="38"/>
      <c r="D283" s="38"/>
      <c r="I283" s="15" t="s">
        <v>86</v>
      </c>
      <c r="J283" s="15" t="s">
        <v>86</v>
      </c>
      <c r="K283" s="22">
        <v>0.0</v>
      </c>
    </row>
    <row r="284">
      <c r="B284" s="37"/>
      <c r="C284" s="38"/>
      <c r="D284" s="38"/>
      <c r="I284" s="15" t="s">
        <v>86</v>
      </c>
      <c r="J284" s="15" t="s">
        <v>86</v>
      </c>
      <c r="K284" s="22">
        <v>0.0</v>
      </c>
    </row>
    <row r="285">
      <c r="B285" s="37"/>
      <c r="C285" s="38"/>
      <c r="D285" s="38"/>
      <c r="I285" s="15" t="s">
        <v>86</v>
      </c>
      <c r="J285" s="15" t="s">
        <v>86</v>
      </c>
      <c r="K285" s="22">
        <v>0.0</v>
      </c>
    </row>
    <row r="286">
      <c r="B286" s="37"/>
      <c r="C286" s="38"/>
      <c r="D286" s="38"/>
      <c r="I286" s="15" t="s">
        <v>86</v>
      </c>
      <c r="J286" s="15" t="s">
        <v>86</v>
      </c>
      <c r="K286" s="22">
        <v>0.0</v>
      </c>
    </row>
    <row r="287">
      <c r="B287" s="37"/>
      <c r="C287" s="38"/>
      <c r="D287" s="38"/>
      <c r="I287" s="15" t="s">
        <v>86</v>
      </c>
      <c r="J287" s="15" t="s">
        <v>86</v>
      </c>
      <c r="K287" s="22">
        <v>0.0</v>
      </c>
    </row>
    <row r="288">
      <c r="B288" s="37"/>
      <c r="C288" s="38"/>
      <c r="D288" s="38"/>
      <c r="I288" s="15" t="s">
        <v>86</v>
      </c>
      <c r="J288" s="15" t="s">
        <v>86</v>
      </c>
      <c r="K288" s="22">
        <v>0.0</v>
      </c>
    </row>
    <row r="289">
      <c r="B289" s="37"/>
      <c r="C289" s="38"/>
      <c r="D289" s="38"/>
      <c r="I289" s="15" t="s">
        <v>86</v>
      </c>
      <c r="J289" s="15" t="s">
        <v>86</v>
      </c>
      <c r="K289" s="22">
        <v>0.0</v>
      </c>
    </row>
    <row r="290">
      <c r="B290" s="37"/>
      <c r="C290" s="38"/>
      <c r="D290" s="38"/>
      <c r="I290" s="15" t="s">
        <v>86</v>
      </c>
      <c r="J290" s="15" t="s">
        <v>86</v>
      </c>
      <c r="K290" s="22">
        <v>0.0</v>
      </c>
    </row>
    <row r="291">
      <c r="B291" s="37"/>
      <c r="C291" s="38"/>
      <c r="D291" s="38"/>
      <c r="I291" s="15" t="s">
        <v>86</v>
      </c>
      <c r="J291" s="15" t="s">
        <v>86</v>
      </c>
      <c r="K291" s="22">
        <v>0.0</v>
      </c>
    </row>
    <row r="292">
      <c r="B292" s="37"/>
      <c r="C292" s="38"/>
      <c r="D292" s="38"/>
      <c r="I292" s="15" t="s">
        <v>86</v>
      </c>
      <c r="J292" s="15" t="s">
        <v>86</v>
      </c>
      <c r="K292" s="22">
        <v>0.0</v>
      </c>
    </row>
    <row r="293">
      <c r="B293" s="37"/>
      <c r="C293" s="38"/>
      <c r="D293" s="38"/>
      <c r="I293" s="15" t="s">
        <v>86</v>
      </c>
      <c r="J293" s="15" t="s">
        <v>86</v>
      </c>
      <c r="K293" s="22">
        <v>0.0</v>
      </c>
    </row>
    <row r="294">
      <c r="B294" s="37"/>
      <c r="C294" s="38"/>
      <c r="D294" s="38"/>
      <c r="I294" s="15" t="s">
        <v>86</v>
      </c>
      <c r="J294" s="15" t="s">
        <v>86</v>
      </c>
      <c r="K294" s="22">
        <v>0.0</v>
      </c>
    </row>
    <row r="295">
      <c r="B295" s="37"/>
      <c r="C295" s="38"/>
      <c r="D295" s="38"/>
      <c r="I295" s="15" t="s">
        <v>86</v>
      </c>
      <c r="J295" s="15" t="s">
        <v>86</v>
      </c>
      <c r="K295" s="22">
        <v>0.0</v>
      </c>
    </row>
    <row r="296">
      <c r="B296" s="37"/>
      <c r="C296" s="38"/>
      <c r="D296" s="38"/>
      <c r="I296" s="15" t="s">
        <v>86</v>
      </c>
      <c r="J296" s="15" t="s">
        <v>86</v>
      </c>
      <c r="K296" s="22">
        <v>0.0</v>
      </c>
    </row>
    <row r="297">
      <c r="B297" s="37"/>
      <c r="C297" s="38"/>
      <c r="D297" s="38"/>
      <c r="I297" s="15" t="s">
        <v>86</v>
      </c>
      <c r="J297" s="15" t="s">
        <v>86</v>
      </c>
      <c r="K297" s="22">
        <v>0.0</v>
      </c>
    </row>
    <row r="298">
      <c r="B298" s="37"/>
      <c r="C298" s="38"/>
      <c r="D298" s="38"/>
      <c r="I298" s="15" t="s">
        <v>86</v>
      </c>
      <c r="J298" s="15" t="s">
        <v>86</v>
      </c>
      <c r="K298" s="22">
        <v>0.0</v>
      </c>
    </row>
    <row r="299">
      <c r="B299" s="37"/>
      <c r="C299" s="38"/>
      <c r="D299" s="38"/>
      <c r="I299" s="15" t="s">
        <v>86</v>
      </c>
      <c r="J299" s="15" t="s">
        <v>86</v>
      </c>
      <c r="K299" s="22">
        <v>0.0</v>
      </c>
    </row>
    <row r="300">
      <c r="B300" s="37"/>
      <c r="C300" s="38"/>
      <c r="D300" s="38"/>
      <c r="I300" s="15" t="s">
        <v>86</v>
      </c>
      <c r="J300" s="15" t="s">
        <v>86</v>
      </c>
      <c r="K300" s="22">
        <v>0.0</v>
      </c>
    </row>
    <row r="301">
      <c r="B301" s="37"/>
      <c r="C301" s="38"/>
      <c r="D301" s="38"/>
      <c r="I301" s="15" t="s">
        <v>86</v>
      </c>
      <c r="J301" s="15" t="s">
        <v>86</v>
      </c>
      <c r="K301" s="22">
        <v>0.0</v>
      </c>
    </row>
    <row r="302">
      <c r="B302" s="37"/>
      <c r="C302" s="38"/>
      <c r="D302" s="38"/>
      <c r="I302" s="15" t="s">
        <v>86</v>
      </c>
      <c r="J302" s="15" t="s">
        <v>86</v>
      </c>
      <c r="K302" s="22">
        <v>0.0</v>
      </c>
    </row>
    <row r="303">
      <c r="B303" s="37"/>
      <c r="C303" s="38"/>
      <c r="D303" s="38"/>
      <c r="I303" s="15" t="s">
        <v>86</v>
      </c>
      <c r="J303" s="15" t="s">
        <v>86</v>
      </c>
      <c r="K303" s="22">
        <v>0.0</v>
      </c>
    </row>
    <row r="304">
      <c r="B304" s="37"/>
      <c r="C304" s="38"/>
      <c r="D304" s="38"/>
      <c r="I304" s="15" t="s">
        <v>86</v>
      </c>
      <c r="J304" s="15" t="s">
        <v>86</v>
      </c>
      <c r="K304" s="22">
        <v>0.0</v>
      </c>
    </row>
    <row r="305">
      <c r="B305" s="37"/>
      <c r="C305" s="38"/>
      <c r="D305" s="38"/>
      <c r="I305" s="15" t="s">
        <v>86</v>
      </c>
      <c r="J305" s="15" t="s">
        <v>86</v>
      </c>
      <c r="K305" s="22">
        <v>0.0</v>
      </c>
    </row>
    <row r="306">
      <c r="B306" s="37"/>
      <c r="C306" s="38"/>
      <c r="D306" s="38"/>
      <c r="I306" s="15" t="s">
        <v>86</v>
      </c>
      <c r="J306" s="15" t="s">
        <v>86</v>
      </c>
      <c r="K306" s="22">
        <v>0.0</v>
      </c>
    </row>
    <row r="307">
      <c r="B307" s="37"/>
      <c r="C307" s="38"/>
      <c r="D307" s="38"/>
      <c r="I307" s="15" t="s">
        <v>86</v>
      </c>
      <c r="J307" s="15" t="s">
        <v>86</v>
      </c>
      <c r="K307" s="22">
        <v>0.0</v>
      </c>
    </row>
    <row r="308">
      <c r="B308" s="37"/>
      <c r="C308" s="38"/>
      <c r="D308" s="38"/>
      <c r="I308" s="15" t="s">
        <v>86</v>
      </c>
      <c r="J308" s="15" t="s">
        <v>86</v>
      </c>
      <c r="K308" s="22">
        <v>0.0</v>
      </c>
    </row>
    <row r="309">
      <c r="B309" s="37"/>
      <c r="C309" s="38"/>
      <c r="D309" s="38"/>
      <c r="I309" s="15" t="s">
        <v>86</v>
      </c>
      <c r="J309" s="15" t="s">
        <v>86</v>
      </c>
      <c r="K309" s="22">
        <v>0.0</v>
      </c>
    </row>
    <row r="310">
      <c r="B310" s="37"/>
      <c r="C310" s="38"/>
      <c r="D310" s="38"/>
      <c r="I310" s="15" t="s">
        <v>86</v>
      </c>
      <c r="J310" s="15" t="s">
        <v>86</v>
      </c>
      <c r="K310" s="22">
        <v>0.0</v>
      </c>
    </row>
    <row r="311">
      <c r="B311" s="37"/>
      <c r="C311" s="38"/>
      <c r="D311" s="38"/>
      <c r="I311" s="15" t="s">
        <v>86</v>
      </c>
      <c r="J311" s="15" t="s">
        <v>86</v>
      </c>
      <c r="K311" s="22">
        <v>0.0</v>
      </c>
    </row>
    <row r="312">
      <c r="B312" s="37"/>
      <c r="C312" s="38"/>
      <c r="D312" s="38"/>
      <c r="I312" s="15" t="s">
        <v>86</v>
      </c>
      <c r="J312" s="15" t="s">
        <v>86</v>
      </c>
      <c r="K312" s="22">
        <v>0.0</v>
      </c>
    </row>
    <row r="313">
      <c r="B313" s="37"/>
      <c r="C313" s="38"/>
      <c r="D313" s="38"/>
      <c r="I313" s="15" t="s">
        <v>86</v>
      </c>
      <c r="J313" s="15" t="s">
        <v>86</v>
      </c>
      <c r="K313" s="22">
        <v>0.0</v>
      </c>
    </row>
    <row r="314">
      <c r="B314" s="37"/>
      <c r="C314" s="38"/>
      <c r="D314" s="38"/>
      <c r="I314" s="15" t="s">
        <v>86</v>
      </c>
      <c r="J314" s="15" t="s">
        <v>86</v>
      </c>
      <c r="K314" s="22">
        <v>0.0</v>
      </c>
    </row>
    <row r="315">
      <c r="B315" s="37"/>
      <c r="C315" s="38"/>
      <c r="D315" s="38"/>
      <c r="I315" s="15" t="s">
        <v>86</v>
      </c>
      <c r="J315" s="15" t="s">
        <v>86</v>
      </c>
      <c r="K315" s="22">
        <v>0.0</v>
      </c>
    </row>
    <row r="316">
      <c r="B316" s="37"/>
      <c r="C316" s="38"/>
      <c r="D316" s="38"/>
      <c r="I316" s="15" t="s">
        <v>86</v>
      </c>
      <c r="J316" s="15" t="s">
        <v>86</v>
      </c>
      <c r="K316" s="22">
        <v>0.0</v>
      </c>
    </row>
    <row r="317">
      <c r="B317" s="37"/>
      <c r="C317" s="38"/>
      <c r="D317" s="38"/>
      <c r="I317" s="15" t="s">
        <v>86</v>
      </c>
      <c r="J317" s="15" t="s">
        <v>86</v>
      </c>
      <c r="K317" s="22">
        <v>0.0</v>
      </c>
    </row>
    <row r="318">
      <c r="B318" s="37"/>
      <c r="C318" s="38"/>
      <c r="D318" s="38"/>
      <c r="I318" s="15" t="s">
        <v>86</v>
      </c>
      <c r="J318" s="15" t="s">
        <v>86</v>
      </c>
      <c r="K318" s="22">
        <v>0.0</v>
      </c>
    </row>
    <row r="319">
      <c r="B319" s="37"/>
      <c r="C319" s="38"/>
      <c r="D319" s="38"/>
      <c r="I319" s="15" t="s">
        <v>86</v>
      </c>
      <c r="J319" s="15" t="s">
        <v>86</v>
      </c>
      <c r="K319" s="22">
        <v>0.0</v>
      </c>
    </row>
    <row r="320">
      <c r="B320" s="37"/>
      <c r="C320" s="38"/>
      <c r="D320" s="38"/>
      <c r="I320" s="15" t="s">
        <v>86</v>
      </c>
      <c r="J320" s="15" t="s">
        <v>86</v>
      </c>
      <c r="K320" s="22">
        <v>0.0</v>
      </c>
    </row>
    <row r="321">
      <c r="B321" s="37"/>
      <c r="C321" s="38"/>
      <c r="D321" s="38"/>
      <c r="I321" s="15" t="s">
        <v>86</v>
      </c>
      <c r="J321" s="15" t="s">
        <v>86</v>
      </c>
      <c r="K321" s="22">
        <v>0.0</v>
      </c>
    </row>
    <row r="322">
      <c r="B322" s="37"/>
      <c r="C322" s="38"/>
      <c r="D322" s="38"/>
      <c r="I322" s="15" t="s">
        <v>86</v>
      </c>
      <c r="J322" s="15" t="s">
        <v>86</v>
      </c>
      <c r="K322" s="22">
        <v>0.0</v>
      </c>
    </row>
    <row r="323">
      <c r="B323" s="37"/>
      <c r="C323" s="38"/>
      <c r="D323" s="38"/>
      <c r="I323" s="15" t="s">
        <v>86</v>
      </c>
      <c r="J323" s="15" t="s">
        <v>86</v>
      </c>
      <c r="K323" s="22">
        <v>0.0</v>
      </c>
    </row>
    <row r="324">
      <c r="B324" s="37"/>
      <c r="C324" s="38"/>
      <c r="D324" s="38"/>
      <c r="I324" s="15" t="s">
        <v>86</v>
      </c>
      <c r="J324" s="15" t="s">
        <v>86</v>
      </c>
      <c r="K324" s="22">
        <v>0.0</v>
      </c>
    </row>
    <row r="325">
      <c r="B325" s="37"/>
      <c r="C325" s="38"/>
      <c r="D325" s="38"/>
      <c r="I325" s="15" t="s">
        <v>86</v>
      </c>
      <c r="J325" s="15" t="s">
        <v>86</v>
      </c>
      <c r="K325" s="22">
        <v>0.0</v>
      </c>
    </row>
    <row r="326">
      <c r="B326" s="37"/>
      <c r="C326" s="38"/>
      <c r="D326" s="38"/>
      <c r="I326" s="15" t="s">
        <v>86</v>
      </c>
      <c r="J326" s="15" t="s">
        <v>86</v>
      </c>
      <c r="K326" s="22">
        <v>0.0</v>
      </c>
    </row>
    <row r="327">
      <c r="B327" s="37"/>
      <c r="C327" s="38"/>
      <c r="D327" s="38"/>
      <c r="I327" s="15" t="s">
        <v>86</v>
      </c>
      <c r="J327" s="15" t="s">
        <v>86</v>
      </c>
      <c r="K327" s="22">
        <v>0.0</v>
      </c>
    </row>
    <row r="328">
      <c r="B328" s="37"/>
      <c r="C328" s="38"/>
      <c r="D328" s="38"/>
      <c r="I328" s="15" t="s">
        <v>86</v>
      </c>
      <c r="J328" s="15" t="s">
        <v>86</v>
      </c>
      <c r="K328" s="22">
        <v>0.0</v>
      </c>
    </row>
    <row r="329">
      <c r="B329" s="37"/>
      <c r="C329" s="38"/>
      <c r="D329" s="38"/>
      <c r="I329" s="15" t="s">
        <v>86</v>
      </c>
      <c r="J329" s="15" t="s">
        <v>86</v>
      </c>
      <c r="K329" s="22">
        <v>0.0</v>
      </c>
    </row>
    <row r="330">
      <c r="B330" s="37"/>
      <c r="C330" s="38"/>
      <c r="D330" s="38"/>
      <c r="I330" s="15" t="s">
        <v>86</v>
      </c>
      <c r="J330" s="15" t="s">
        <v>86</v>
      </c>
      <c r="K330" s="22">
        <v>0.0</v>
      </c>
    </row>
    <row r="331">
      <c r="B331" s="37"/>
      <c r="C331" s="38"/>
      <c r="D331" s="38"/>
      <c r="I331" s="15" t="s">
        <v>86</v>
      </c>
      <c r="J331" s="15" t="s">
        <v>86</v>
      </c>
      <c r="K331" s="22">
        <v>0.0</v>
      </c>
    </row>
    <row r="332">
      <c r="B332" s="37"/>
      <c r="C332" s="38"/>
      <c r="D332" s="38"/>
      <c r="I332" s="15" t="s">
        <v>86</v>
      </c>
      <c r="J332" s="15" t="s">
        <v>86</v>
      </c>
      <c r="K332" s="22">
        <v>0.0</v>
      </c>
    </row>
    <row r="333">
      <c r="B333" s="37"/>
      <c r="C333" s="38"/>
      <c r="D333" s="38"/>
      <c r="I333" s="15" t="s">
        <v>86</v>
      </c>
      <c r="J333" s="15" t="s">
        <v>86</v>
      </c>
      <c r="K333" s="22">
        <v>0.0</v>
      </c>
    </row>
    <row r="334">
      <c r="B334" s="37"/>
      <c r="C334" s="38"/>
      <c r="D334" s="38"/>
      <c r="I334" s="15" t="s">
        <v>86</v>
      </c>
      <c r="J334" s="15" t="s">
        <v>86</v>
      </c>
      <c r="K334" s="22">
        <v>0.0</v>
      </c>
    </row>
    <row r="335">
      <c r="B335" s="37"/>
      <c r="C335" s="38"/>
      <c r="D335" s="38"/>
      <c r="I335" s="15" t="s">
        <v>86</v>
      </c>
      <c r="J335" s="15" t="s">
        <v>86</v>
      </c>
      <c r="K335" s="22">
        <v>0.0</v>
      </c>
    </row>
    <row r="336">
      <c r="B336" s="37"/>
      <c r="C336" s="38"/>
      <c r="D336" s="38"/>
      <c r="I336" s="15" t="s">
        <v>86</v>
      </c>
      <c r="J336" s="15" t="s">
        <v>86</v>
      </c>
      <c r="K336" s="22">
        <v>0.0</v>
      </c>
    </row>
    <row r="337">
      <c r="B337" s="37"/>
      <c r="C337" s="38"/>
      <c r="D337" s="38"/>
      <c r="I337" s="15" t="s">
        <v>86</v>
      </c>
      <c r="J337" s="15" t="s">
        <v>86</v>
      </c>
      <c r="K337" s="22">
        <v>0.0</v>
      </c>
    </row>
    <row r="338">
      <c r="B338" s="37"/>
      <c r="C338" s="38"/>
      <c r="D338" s="38"/>
      <c r="I338" s="15" t="s">
        <v>86</v>
      </c>
      <c r="J338" s="15" t="s">
        <v>86</v>
      </c>
      <c r="K338" s="22">
        <v>0.0</v>
      </c>
    </row>
    <row r="339">
      <c r="B339" s="37"/>
      <c r="C339" s="38"/>
      <c r="D339" s="38"/>
      <c r="I339" s="15" t="s">
        <v>86</v>
      </c>
      <c r="J339" s="15" t="s">
        <v>86</v>
      </c>
      <c r="K339" s="22">
        <v>0.0</v>
      </c>
    </row>
    <row r="340">
      <c r="B340" s="37"/>
      <c r="C340" s="38"/>
      <c r="D340" s="38"/>
      <c r="I340" s="15" t="s">
        <v>86</v>
      </c>
      <c r="J340" s="15" t="s">
        <v>86</v>
      </c>
      <c r="K340" s="22">
        <v>0.0</v>
      </c>
    </row>
    <row r="341">
      <c r="B341" s="37"/>
      <c r="C341" s="38"/>
      <c r="D341" s="38"/>
      <c r="I341" s="15" t="s">
        <v>86</v>
      </c>
      <c r="J341" s="15" t="s">
        <v>86</v>
      </c>
      <c r="K341" s="22">
        <v>0.0</v>
      </c>
    </row>
    <row r="342">
      <c r="B342" s="37"/>
      <c r="C342" s="38"/>
      <c r="D342" s="38"/>
      <c r="I342" s="15" t="s">
        <v>86</v>
      </c>
      <c r="J342" s="15" t="s">
        <v>86</v>
      </c>
      <c r="K342" s="22">
        <v>0.0</v>
      </c>
    </row>
    <row r="343">
      <c r="B343" s="37"/>
      <c r="C343" s="38"/>
      <c r="D343" s="38"/>
      <c r="I343" s="15" t="s">
        <v>86</v>
      </c>
      <c r="J343" s="15" t="s">
        <v>86</v>
      </c>
      <c r="K343" s="22">
        <v>0.0</v>
      </c>
    </row>
    <row r="344">
      <c r="B344" s="37"/>
      <c r="C344" s="38"/>
      <c r="D344" s="38"/>
      <c r="I344" s="15" t="s">
        <v>86</v>
      </c>
      <c r="J344" s="15" t="s">
        <v>86</v>
      </c>
      <c r="K344" s="22">
        <v>0.0</v>
      </c>
    </row>
    <row r="345">
      <c r="B345" s="37"/>
      <c r="C345" s="38"/>
      <c r="D345" s="38"/>
      <c r="I345" s="15" t="s">
        <v>86</v>
      </c>
      <c r="J345" s="15" t="s">
        <v>86</v>
      </c>
      <c r="K345" s="22">
        <v>0.0</v>
      </c>
    </row>
    <row r="346">
      <c r="B346" s="37"/>
      <c r="C346" s="38"/>
      <c r="D346" s="38"/>
      <c r="I346" s="15" t="s">
        <v>86</v>
      </c>
      <c r="J346" s="15" t="s">
        <v>86</v>
      </c>
      <c r="K346" s="22">
        <v>0.0</v>
      </c>
    </row>
    <row r="347">
      <c r="B347" s="37"/>
      <c r="C347" s="38"/>
      <c r="D347" s="38"/>
      <c r="I347" s="15" t="s">
        <v>86</v>
      </c>
      <c r="J347" s="15" t="s">
        <v>86</v>
      </c>
      <c r="K347" s="22">
        <v>0.0</v>
      </c>
    </row>
    <row r="348">
      <c r="B348" s="37"/>
      <c r="C348" s="38"/>
      <c r="D348" s="38"/>
      <c r="I348" s="15" t="s">
        <v>86</v>
      </c>
      <c r="J348" s="15" t="s">
        <v>86</v>
      </c>
      <c r="K348" s="22">
        <v>0.0</v>
      </c>
    </row>
    <row r="349">
      <c r="B349" s="37"/>
      <c r="C349" s="38"/>
      <c r="D349" s="38"/>
      <c r="I349" s="15" t="s">
        <v>86</v>
      </c>
      <c r="J349" s="15" t="s">
        <v>86</v>
      </c>
      <c r="K349" s="22">
        <v>0.0</v>
      </c>
    </row>
    <row r="350">
      <c r="B350" s="37"/>
      <c r="C350" s="38"/>
      <c r="D350" s="38"/>
      <c r="I350" s="15" t="s">
        <v>86</v>
      </c>
      <c r="J350" s="15" t="s">
        <v>86</v>
      </c>
      <c r="K350" s="22">
        <v>0.0</v>
      </c>
    </row>
    <row r="351">
      <c r="B351" s="37"/>
      <c r="C351" s="38"/>
      <c r="D351" s="38"/>
      <c r="I351" s="15" t="s">
        <v>86</v>
      </c>
      <c r="J351" s="15" t="s">
        <v>86</v>
      </c>
      <c r="K351" s="22">
        <v>0.0</v>
      </c>
    </row>
    <row r="352">
      <c r="B352" s="37"/>
      <c r="C352" s="38"/>
      <c r="D352" s="38"/>
      <c r="I352" s="15" t="s">
        <v>86</v>
      </c>
      <c r="J352" s="15" t="s">
        <v>86</v>
      </c>
      <c r="K352" s="22">
        <v>0.0</v>
      </c>
    </row>
    <row r="353">
      <c r="B353" s="37"/>
      <c r="C353" s="38"/>
      <c r="D353" s="38"/>
      <c r="I353" s="15" t="s">
        <v>86</v>
      </c>
      <c r="J353" s="15" t="s">
        <v>86</v>
      </c>
      <c r="K353" s="22">
        <v>0.0</v>
      </c>
    </row>
    <row r="354">
      <c r="B354" s="37"/>
      <c r="C354" s="38"/>
      <c r="D354" s="38"/>
      <c r="I354" s="15" t="s">
        <v>86</v>
      </c>
      <c r="J354" s="15" t="s">
        <v>86</v>
      </c>
      <c r="K354" s="22">
        <v>0.0</v>
      </c>
    </row>
    <row r="355">
      <c r="B355" s="37"/>
      <c r="C355" s="38"/>
      <c r="D355" s="38"/>
      <c r="I355" s="15" t="s">
        <v>86</v>
      </c>
      <c r="J355" s="15" t="s">
        <v>86</v>
      </c>
      <c r="K355" s="22">
        <v>0.0</v>
      </c>
    </row>
    <row r="356">
      <c r="B356" s="37"/>
      <c r="C356" s="38"/>
      <c r="D356" s="38"/>
      <c r="I356" s="15" t="s">
        <v>86</v>
      </c>
      <c r="J356" s="15" t="s">
        <v>86</v>
      </c>
      <c r="K356" s="22">
        <v>0.0</v>
      </c>
    </row>
    <row r="357">
      <c r="B357" s="37"/>
      <c r="C357" s="38"/>
      <c r="D357" s="38"/>
      <c r="I357" s="15" t="s">
        <v>86</v>
      </c>
      <c r="J357" s="15" t="s">
        <v>86</v>
      </c>
      <c r="K357" s="22">
        <v>0.0</v>
      </c>
    </row>
    <row r="358">
      <c r="B358" s="37"/>
      <c r="C358" s="38"/>
      <c r="D358" s="38"/>
      <c r="I358" s="15" t="s">
        <v>86</v>
      </c>
      <c r="J358" s="15" t="s">
        <v>86</v>
      </c>
      <c r="K358" s="22">
        <v>0.0</v>
      </c>
    </row>
    <row r="359">
      <c r="B359" s="37"/>
      <c r="C359" s="38"/>
      <c r="D359" s="38"/>
      <c r="I359" s="15" t="s">
        <v>86</v>
      </c>
      <c r="J359" s="15" t="s">
        <v>86</v>
      </c>
      <c r="K359" s="22">
        <v>0.0</v>
      </c>
    </row>
    <row r="360">
      <c r="B360" s="37"/>
      <c r="C360" s="38"/>
      <c r="D360" s="38"/>
      <c r="I360" s="15" t="s">
        <v>86</v>
      </c>
      <c r="J360" s="15" t="s">
        <v>86</v>
      </c>
      <c r="K360" s="22">
        <v>0.0</v>
      </c>
    </row>
    <row r="361">
      <c r="B361" s="37"/>
      <c r="C361" s="38"/>
      <c r="D361" s="38"/>
      <c r="I361" s="15" t="s">
        <v>86</v>
      </c>
      <c r="J361" s="15" t="s">
        <v>86</v>
      </c>
      <c r="K361" s="22">
        <v>0.0</v>
      </c>
    </row>
    <row r="362">
      <c r="B362" s="37"/>
      <c r="C362" s="38"/>
      <c r="D362" s="38"/>
      <c r="I362" s="15" t="s">
        <v>86</v>
      </c>
      <c r="J362" s="15" t="s">
        <v>86</v>
      </c>
      <c r="K362" s="22">
        <v>0.0</v>
      </c>
    </row>
    <row r="363">
      <c r="B363" s="37"/>
      <c r="C363" s="38"/>
      <c r="D363" s="38"/>
      <c r="I363" s="15" t="s">
        <v>86</v>
      </c>
      <c r="J363" s="15" t="s">
        <v>86</v>
      </c>
      <c r="K363" s="22">
        <v>0.0</v>
      </c>
    </row>
    <row r="364">
      <c r="B364" s="37"/>
      <c r="C364" s="38"/>
      <c r="D364" s="38"/>
      <c r="I364" s="15" t="s">
        <v>86</v>
      </c>
      <c r="J364" s="15" t="s">
        <v>86</v>
      </c>
      <c r="K364" s="22">
        <v>0.0</v>
      </c>
    </row>
    <row r="365">
      <c r="B365" s="37"/>
      <c r="C365" s="38"/>
      <c r="D365" s="38"/>
      <c r="I365" s="15" t="s">
        <v>86</v>
      </c>
      <c r="J365" s="15" t="s">
        <v>86</v>
      </c>
      <c r="K365" s="22">
        <v>0.0</v>
      </c>
    </row>
    <row r="366">
      <c r="B366" s="37"/>
      <c r="C366" s="38"/>
      <c r="D366" s="38"/>
      <c r="I366" s="15" t="s">
        <v>86</v>
      </c>
      <c r="J366" s="15" t="s">
        <v>86</v>
      </c>
      <c r="K366" s="22">
        <v>0.0</v>
      </c>
    </row>
    <row r="367">
      <c r="B367" s="37"/>
      <c r="C367" s="38"/>
      <c r="D367" s="38"/>
      <c r="I367" s="15" t="s">
        <v>86</v>
      </c>
      <c r="J367" s="15" t="s">
        <v>86</v>
      </c>
      <c r="K367" s="22">
        <v>0.0</v>
      </c>
    </row>
    <row r="368">
      <c r="B368" s="37"/>
      <c r="C368" s="38"/>
      <c r="D368" s="38"/>
      <c r="I368" s="15" t="s">
        <v>86</v>
      </c>
      <c r="J368" s="15" t="s">
        <v>86</v>
      </c>
      <c r="K368" s="22">
        <v>0.0</v>
      </c>
    </row>
    <row r="369">
      <c r="B369" s="37"/>
      <c r="C369" s="38"/>
      <c r="D369" s="38"/>
      <c r="I369" s="15" t="s">
        <v>86</v>
      </c>
      <c r="J369" s="15" t="s">
        <v>86</v>
      </c>
      <c r="K369" s="22">
        <v>0.0</v>
      </c>
    </row>
    <row r="370">
      <c r="B370" s="37"/>
      <c r="C370" s="38"/>
      <c r="D370" s="38"/>
      <c r="I370" s="15" t="s">
        <v>86</v>
      </c>
      <c r="J370" s="15" t="s">
        <v>86</v>
      </c>
      <c r="K370" s="22">
        <v>0.0</v>
      </c>
    </row>
    <row r="371">
      <c r="B371" s="37"/>
      <c r="C371" s="38"/>
      <c r="D371" s="38"/>
      <c r="I371" s="15" t="s">
        <v>86</v>
      </c>
      <c r="J371" s="15" t="s">
        <v>86</v>
      </c>
      <c r="K371" s="22">
        <v>0.0</v>
      </c>
    </row>
    <row r="372">
      <c r="B372" s="37"/>
      <c r="C372" s="38"/>
      <c r="D372" s="38"/>
      <c r="I372" s="15" t="s">
        <v>86</v>
      </c>
      <c r="J372" s="15" t="s">
        <v>86</v>
      </c>
      <c r="K372" s="22">
        <v>0.0</v>
      </c>
    </row>
    <row r="373">
      <c r="B373" s="37"/>
      <c r="C373" s="38"/>
      <c r="D373" s="38"/>
      <c r="I373" s="15" t="s">
        <v>86</v>
      </c>
      <c r="J373" s="15" t="s">
        <v>86</v>
      </c>
      <c r="K373" s="22">
        <v>0.0</v>
      </c>
    </row>
    <row r="374">
      <c r="B374" s="37"/>
      <c r="C374" s="38"/>
      <c r="D374" s="38"/>
      <c r="I374" s="15" t="s">
        <v>86</v>
      </c>
      <c r="J374" s="15" t="s">
        <v>86</v>
      </c>
      <c r="K374" s="22">
        <v>0.0</v>
      </c>
    </row>
    <row r="375">
      <c r="B375" s="37"/>
      <c r="C375" s="38"/>
      <c r="D375" s="38"/>
      <c r="I375" s="15" t="s">
        <v>86</v>
      </c>
      <c r="J375" s="15" t="s">
        <v>86</v>
      </c>
      <c r="K375" s="22">
        <v>0.0</v>
      </c>
    </row>
    <row r="376">
      <c r="B376" s="37"/>
      <c r="C376" s="38"/>
      <c r="D376" s="38"/>
      <c r="I376" s="15" t="s">
        <v>86</v>
      </c>
      <c r="J376" s="15" t="s">
        <v>86</v>
      </c>
      <c r="K376" s="22">
        <v>0.0</v>
      </c>
    </row>
    <row r="377">
      <c r="B377" s="37"/>
      <c r="C377" s="38"/>
      <c r="D377" s="38"/>
      <c r="I377" s="15" t="s">
        <v>86</v>
      </c>
      <c r="J377" s="15" t="s">
        <v>86</v>
      </c>
      <c r="K377" s="22">
        <v>0.0</v>
      </c>
    </row>
    <row r="378">
      <c r="B378" s="37"/>
      <c r="C378" s="38"/>
      <c r="D378" s="38"/>
      <c r="I378" s="15" t="s">
        <v>86</v>
      </c>
      <c r="J378" s="15" t="s">
        <v>86</v>
      </c>
      <c r="K378" s="22">
        <v>0.0</v>
      </c>
    </row>
    <row r="379">
      <c r="B379" s="37"/>
      <c r="C379" s="38"/>
      <c r="D379" s="38"/>
      <c r="I379" s="15" t="s">
        <v>86</v>
      </c>
      <c r="J379" s="15" t="s">
        <v>86</v>
      </c>
      <c r="K379" s="22">
        <v>0.0</v>
      </c>
    </row>
    <row r="380">
      <c r="B380" s="37"/>
      <c r="C380" s="38"/>
      <c r="D380" s="38"/>
      <c r="I380" s="15" t="s">
        <v>86</v>
      </c>
      <c r="J380" s="15" t="s">
        <v>86</v>
      </c>
      <c r="K380" s="22">
        <v>0.0</v>
      </c>
    </row>
    <row r="381">
      <c r="B381" s="37"/>
      <c r="C381" s="38"/>
      <c r="D381" s="38"/>
      <c r="I381" s="15" t="s">
        <v>86</v>
      </c>
      <c r="J381" s="15" t="s">
        <v>86</v>
      </c>
      <c r="K381" s="22">
        <v>0.0</v>
      </c>
    </row>
    <row r="382">
      <c r="B382" s="37"/>
      <c r="C382" s="38"/>
      <c r="D382" s="38"/>
      <c r="I382" s="15" t="s">
        <v>86</v>
      </c>
      <c r="J382" s="15" t="s">
        <v>86</v>
      </c>
      <c r="K382" s="22">
        <v>0.0</v>
      </c>
    </row>
    <row r="383">
      <c r="B383" s="37"/>
      <c r="C383" s="38"/>
      <c r="D383" s="38"/>
      <c r="I383" s="15" t="s">
        <v>86</v>
      </c>
      <c r="J383" s="15" t="s">
        <v>86</v>
      </c>
      <c r="K383" s="22">
        <v>0.0</v>
      </c>
    </row>
    <row r="384">
      <c r="B384" s="37"/>
      <c r="C384" s="38"/>
      <c r="D384" s="38"/>
      <c r="I384" s="15" t="s">
        <v>86</v>
      </c>
      <c r="J384" s="15" t="s">
        <v>86</v>
      </c>
      <c r="K384" s="22">
        <v>0.0</v>
      </c>
    </row>
    <row r="385">
      <c r="B385" s="37"/>
      <c r="C385" s="38"/>
      <c r="D385" s="38"/>
      <c r="I385" s="15" t="s">
        <v>86</v>
      </c>
      <c r="J385" s="15" t="s">
        <v>86</v>
      </c>
      <c r="K385" s="22">
        <v>0.0</v>
      </c>
    </row>
    <row r="386">
      <c r="B386" s="37"/>
      <c r="C386" s="38"/>
      <c r="D386" s="38"/>
      <c r="I386" s="15" t="s">
        <v>86</v>
      </c>
      <c r="J386" s="15" t="s">
        <v>86</v>
      </c>
      <c r="K386" s="22">
        <v>0.0</v>
      </c>
    </row>
    <row r="387">
      <c r="B387" s="37"/>
      <c r="C387" s="38"/>
      <c r="D387" s="38"/>
      <c r="I387" s="15" t="s">
        <v>86</v>
      </c>
      <c r="J387" s="15" t="s">
        <v>86</v>
      </c>
      <c r="K387" s="22">
        <v>0.0</v>
      </c>
    </row>
    <row r="388">
      <c r="B388" s="37"/>
      <c r="C388" s="38"/>
      <c r="D388" s="38"/>
      <c r="I388" s="15" t="s">
        <v>86</v>
      </c>
      <c r="J388" s="15" t="s">
        <v>86</v>
      </c>
      <c r="K388" s="22">
        <v>0.0</v>
      </c>
    </row>
    <row r="389">
      <c r="B389" s="37"/>
      <c r="C389" s="38"/>
      <c r="D389" s="38"/>
      <c r="I389" s="15" t="s">
        <v>86</v>
      </c>
      <c r="J389" s="15" t="s">
        <v>86</v>
      </c>
      <c r="K389" s="22">
        <v>0.0</v>
      </c>
    </row>
    <row r="390">
      <c r="B390" s="37"/>
      <c r="C390" s="38"/>
      <c r="D390" s="38"/>
      <c r="I390" s="15" t="s">
        <v>86</v>
      </c>
      <c r="J390" s="15" t="s">
        <v>86</v>
      </c>
      <c r="K390" s="22">
        <v>0.0</v>
      </c>
    </row>
    <row r="391">
      <c r="B391" s="37"/>
      <c r="C391" s="38"/>
      <c r="D391" s="38"/>
      <c r="I391" s="15" t="s">
        <v>86</v>
      </c>
      <c r="J391" s="15" t="s">
        <v>86</v>
      </c>
      <c r="K391" s="22">
        <v>0.0</v>
      </c>
    </row>
    <row r="392">
      <c r="B392" s="37"/>
      <c r="C392" s="38"/>
      <c r="D392" s="38"/>
      <c r="I392" s="15" t="s">
        <v>86</v>
      </c>
      <c r="J392" s="15" t="s">
        <v>86</v>
      </c>
      <c r="K392" s="22">
        <v>0.0</v>
      </c>
    </row>
    <row r="393">
      <c r="B393" s="37"/>
      <c r="C393" s="38"/>
      <c r="D393" s="38"/>
      <c r="I393" s="15" t="s">
        <v>86</v>
      </c>
      <c r="J393" s="15" t="s">
        <v>86</v>
      </c>
      <c r="K393" s="22">
        <v>0.0</v>
      </c>
    </row>
    <row r="394">
      <c r="B394" s="37"/>
      <c r="C394" s="38"/>
      <c r="D394" s="38"/>
      <c r="I394" s="15" t="s">
        <v>86</v>
      </c>
      <c r="J394" s="15" t="s">
        <v>86</v>
      </c>
      <c r="K394" s="22">
        <v>0.0</v>
      </c>
    </row>
    <row r="395">
      <c r="B395" s="37"/>
      <c r="C395" s="38"/>
      <c r="D395" s="38"/>
      <c r="I395" s="15" t="s">
        <v>86</v>
      </c>
      <c r="J395" s="15" t="s">
        <v>86</v>
      </c>
      <c r="K395" s="22">
        <v>0.0</v>
      </c>
    </row>
    <row r="396">
      <c r="B396" s="37"/>
      <c r="C396" s="38"/>
      <c r="D396" s="38"/>
      <c r="I396" s="15" t="s">
        <v>86</v>
      </c>
      <c r="J396" s="15" t="s">
        <v>86</v>
      </c>
      <c r="K396" s="22">
        <v>0.0</v>
      </c>
    </row>
    <row r="397">
      <c r="B397" s="37"/>
      <c r="C397" s="38"/>
      <c r="D397" s="38"/>
      <c r="I397" s="15" t="s">
        <v>86</v>
      </c>
      <c r="J397" s="15" t="s">
        <v>86</v>
      </c>
      <c r="K397" s="22">
        <v>0.0</v>
      </c>
    </row>
    <row r="398">
      <c r="B398" s="37"/>
      <c r="C398" s="38"/>
      <c r="D398" s="38"/>
      <c r="I398" s="15" t="s">
        <v>86</v>
      </c>
      <c r="J398" s="15" t="s">
        <v>86</v>
      </c>
      <c r="K398" s="22">
        <v>0.0</v>
      </c>
    </row>
    <row r="399">
      <c r="B399" s="37"/>
      <c r="C399" s="38"/>
      <c r="D399" s="38"/>
      <c r="I399" s="15" t="s">
        <v>86</v>
      </c>
      <c r="J399" s="15" t="s">
        <v>86</v>
      </c>
      <c r="K399" s="22">
        <v>0.0</v>
      </c>
    </row>
    <row r="400">
      <c r="B400" s="37"/>
      <c r="C400" s="38"/>
      <c r="D400" s="38"/>
      <c r="I400" s="15" t="s">
        <v>86</v>
      </c>
      <c r="J400" s="15" t="s">
        <v>86</v>
      </c>
      <c r="K400" s="22">
        <v>0.0</v>
      </c>
    </row>
    <row r="401">
      <c r="B401" s="37"/>
      <c r="C401" s="38"/>
      <c r="D401" s="38"/>
      <c r="I401" s="15" t="s">
        <v>86</v>
      </c>
      <c r="J401" s="15" t="s">
        <v>86</v>
      </c>
      <c r="K401" s="22">
        <v>0.0</v>
      </c>
    </row>
    <row r="402">
      <c r="B402" s="37"/>
      <c r="C402" s="38"/>
      <c r="D402" s="38"/>
      <c r="I402" s="15" t="s">
        <v>86</v>
      </c>
      <c r="J402" s="15" t="s">
        <v>86</v>
      </c>
      <c r="K402" s="22">
        <v>0.0</v>
      </c>
    </row>
    <row r="403">
      <c r="B403" s="37"/>
      <c r="C403" s="38"/>
      <c r="D403" s="38"/>
      <c r="I403" s="15" t="s">
        <v>86</v>
      </c>
      <c r="J403" s="15" t="s">
        <v>86</v>
      </c>
      <c r="K403" s="22">
        <v>0.0</v>
      </c>
    </row>
    <row r="404">
      <c r="B404" s="37"/>
      <c r="C404" s="38"/>
      <c r="D404" s="38"/>
      <c r="I404" s="15" t="s">
        <v>86</v>
      </c>
      <c r="J404" s="15" t="s">
        <v>86</v>
      </c>
      <c r="K404" s="22">
        <v>0.0</v>
      </c>
    </row>
    <row r="405">
      <c r="B405" s="37"/>
      <c r="C405" s="38"/>
      <c r="D405" s="38"/>
      <c r="I405" s="15" t="s">
        <v>86</v>
      </c>
      <c r="J405" s="15" t="s">
        <v>86</v>
      </c>
      <c r="K405" s="22">
        <v>0.0</v>
      </c>
    </row>
    <row r="406">
      <c r="B406" s="37"/>
      <c r="C406" s="38"/>
      <c r="D406" s="38"/>
      <c r="I406" s="15" t="s">
        <v>86</v>
      </c>
      <c r="J406" s="15" t="s">
        <v>86</v>
      </c>
      <c r="K406" s="22">
        <v>0.0</v>
      </c>
    </row>
    <row r="407">
      <c r="B407" s="37"/>
      <c r="C407" s="38"/>
      <c r="D407" s="38"/>
      <c r="I407" s="15" t="s">
        <v>86</v>
      </c>
      <c r="J407" s="15" t="s">
        <v>86</v>
      </c>
      <c r="K407" s="22">
        <v>0.0</v>
      </c>
    </row>
    <row r="408">
      <c r="B408" s="37"/>
      <c r="C408" s="38"/>
      <c r="D408" s="38"/>
      <c r="I408" s="15" t="s">
        <v>86</v>
      </c>
      <c r="J408" s="15" t="s">
        <v>86</v>
      </c>
      <c r="K408" s="22">
        <v>0.0</v>
      </c>
    </row>
    <row r="409">
      <c r="B409" s="37"/>
      <c r="C409" s="38"/>
      <c r="D409" s="38"/>
      <c r="I409" s="15" t="s">
        <v>86</v>
      </c>
      <c r="J409" s="15" t="s">
        <v>86</v>
      </c>
      <c r="K409" s="22">
        <v>0.0</v>
      </c>
    </row>
    <row r="410">
      <c r="B410" s="37"/>
      <c r="C410" s="38"/>
      <c r="D410" s="38"/>
      <c r="I410" s="15" t="s">
        <v>86</v>
      </c>
      <c r="J410" s="15" t="s">
        <v>86</v>
      </c>
      <c r="K410" s="22">
        <v>0.0</v>
      </c>
    </row>
    <row r="411">
      <c r="B411" s="37"/>
      <c r="C411" s="38"/>
      <c r="D411" s="38"/>
      <c r="I411" s="15" t="s">
        <v>86</v>
      </c>
      <c r="J411" s="15" t="s">
        <v>86</v>
      </c>
      <c r="K411" s="22">
        <v>0.0</v>
      </c>
    </row>
    <row r="412">
      <c r="B412" s="37"/>
      <c r="C412" s="38"/>
      <c r="D412" s="38"/>
      <c r="I412" s="15" t="s">
        <v>86</v>
      </c>
      <c r="J412" s="15" t="s">
        <v>86</v>
      </c>
      <c r="K412" s="22">
        <v>0.0</v>
      </c>
    </row>
    <row r="413">
      <c r="B413" s="37"/>
      <c r="C413" s="38"/>
      <c r="D413" s="38"/>
      <c r="I413" s="15" t="s">
        <v>86</v>
      </c>
      <c r="J413" s="15" t="s">
        <v>86</v>
      </c>
      <c r="K413" s="22">
        <v>0.0</v>
      </c>
    </row>
    <row r="414">
      <c r="B414" s="37"/>
      <c r="C414" s="38"/>
      <c r="D414" s="38"/>
      <c r="I414" s="15" t="s">
        <v>86</v>
      </c>
      <c r="J414" s="15" t="s">
        <v>86</v>
      </c>
      <c r="K414" s="22">
        <v>0.0</v>
      </c>
    </row>
    <row r="415">
      <c r="B415" s="37"/>
      <c r="C415" s="38"/>
      <c r="D415" s="38"/>
      <c r="I415" s="15" t="s">
        <v>86</v>
      </c>
      <c r="J415" s="15" t="s">
        <v>86</v>
      </c>
      <c r="K415" s="22">
        <v>0.0</v>
      </c>
    </row>
    <row r="416">
      <c r="B416" s="37"/>
      <c r="C416" s="38"/>
      <c r="D416" s="38"/>
      <c r="I416" s="15" t="s">
        <v>86</v>
      </c>
      <c r="J416" s="15" t="s">
        <v>86</v>
      </c>
      <c r="K416" s="22">
        <v>0.0</v>
      </c>
    </row>
    <row r="417">
      <c r="B417" s="37"/>
      <c r="C417" s="38"/>
      <c r="D417" s="38"/>
      <c r="I417" s="15" t="s">
        <v>86</v>
      </c>
      <c r="J417" s="15" t="s">
        <v>86</v>
      </c>
      <c r="K417" s="22">
        <v>0.0</v>
      </c>
    </row>
    <row r="418">
      <c r="B418" s="37"/>
      <c r="C418" s="38"/>
      <c r="D418" s="38"/>
      <c r="I418" s="15" t="s">
        <v>86</v>
      </c>
      <c r="J418" s="15" t="s">
        <v>86</v>
      </c>
      <c r="K418" s="22">
        <v>0.0</v>
      </c>
    </row>
    <row r="419">
      <c r="B419" s="37"/>
      <c r="C419" s="38"/>
      <c r="D419" s="38"/>
      <c r="I419" s="15" t="s">
        <v>86</v>
      </c>
      <c r="J419" s="15" t="s">
        <v>86</v>
      </c>
      <c r="K419" s="22">
        <v>0.0</v>
      </c>
    </row>
    <row r="420">
      <c r="B420" s="37"/>
      <c r="C420" s="38"/>
      <c r="D420" s="38"/>
      <c r="I420" s="15" t="s">
        <v>86</v>
      </c>
      <c r="J420" s="15" t="s">
        <v>86</v>
      </c>
      <c r="K420" s="22">
        <v>0.0</v>
      </c>
    </row>
    <row r="421">
      <c r="B421" s="37"/>
      <c r="C421" s="38"/>
      <c r="D421" s="38"/>
      <c r="I421" s="15" t="s">
        <v>86</v>
      </c>
      <c r="J421" s="15" t="s">
        <v>86</v>
      </c>
      <c r="K421" s="22">
        <v>0.0</v>
      </c>
    </row>
    <row r="422">
      <c r="B422" s="37"/>
      <c r="C422" s="38"/>
      <c r="D422" s="38"/>
      <c r="I422" s="15" t="s">
        <v>86</v>
      </c>
      <c r="J422" s="15" t="s">
        <v>86</v>
      </c>
      <c r="K422" s="22">
        <v>0.0</v>
      </c>
    </row>
    <row r="423">
      <c r="B423" s="37"/>
      <c r="C423" s="38"/>
      <c r="D423" s="38"/>
      <c r="I423" s="15" t="s">
        <v>86</v>
      </c>
      <c r="J423" s="15" t="s">
        <v>86</v>
      </c>
      <c r="K423" s="22">
        <v>0.0</v>
      </c>
    </row>
    <row r="424">
      <c r="B424" s="37"/>
      <c r="C424" s="38"/>
      <c r="D424" s="38"/>
      <c r="I424" s="15" t="s">
        <v>86</v>
      </c>
      <c r="J424" s="15" t="s">
        <v>86</v>
      </c>
      <c r="K424" s="22">
        <v>0.0</v>
      </c>
    </row>
    <row r="425">
      <c r="B425" s="37"/>
      <c r="C425" s="38"/>
      <c r="D425" s="38"/>
      <c r="I425" s="15" t="s">
        <v>86</v>
      </c>
      <c r="J425" s="15" t="s">
        <v>86</v>
      </c>
      <c r="K425" s="22">
        <v>0.0</v>
      </c>
    </row>
    <row r="426">
      <c r="B426" s="37"/>
      <c r="C426" s="38"/>
      <c r="D426" s="38"/>
      <c r="I426" s="15" t="s">
        <v>86</v>
      </c>
      <c r="J426" s="15" t="s">
        <v>86</v>
      </c>
      <c r="K426" s="22">
        <v>0.0</v>
      </c>
    </row>
    <row r="427">
      <c r="B427" s="37"/>
      <c r="C427" s="38"/>
      <c r="D427" s="38"/>
      <c r="I427" s="15" t="s">
        <v>86</v>
      </c>
      <c r="J427" s="15" t="s">
        <v>86</v>
      </c>
      <c r="K427" s="22">
        <v>0.0</v>
      </c>
    </row>
    <row r="428">
      <c r="B428" s="37"/>
      <c r="C428" s="38"/>
      <c r="D428" s="38"/>
      <c r="I428" s="15" t="s">
        <v>86</v>
      </c>
      <c r="J428" s="15" t="s">
        <v>86</v>
      </c>
      <c r="K428" s="22">
        <v>0.0</v>
      </c>
    </row>
    <row r="429">
      <c r="B429" s="37"/>
      <c r="C429" s="38"/>
      <c r="D429" s="38"/>
      <c r="I429" s="15" t="s">
        <v>86</v>
      </c>
      <c r="J429" s="15" t="s">
        <v>86</v>
      </c>
      <c r="K429" s="22">
        <v>0.0</v>
      </c>
    </row>
    <row r="430">
      <c r="B430" s="37"/>
      <c r="C430" s="38"/>
      <c r="D430" s="38"/>
      <c r="I430" s="15" t="s">
        <v>86</v>
      </c>
      <c r="J430" s="15" t="s">
        <v>86</v>
      </c>
      <c r="K430" s="22">
        <v>0.0</v>
      </c>
    </row>
    <row r="431">
      <c r="B431" s="37"/>
      <c r="C431" s="38"/>
      <c r="D431" s="38"/>
      <c r="I431" s="15" t="s">
        <v>86</v>
      </c>
      <c r="J431" s="15" t="s">
        <v>86</v>
      </c>
      <c r="K431" s="22">
        <v>0.0</v>
      </c>
    </row>
    <row r="432">
      <c r="B432" s="37"/>
      <c r="C432" s="38"/>
      <c r="D432" s="38"/>
      <c r="I432" s="15" t="s">
        <v>86</v>
      </c>
      <c r="J432" s="15" t="s">
        <v>86</v>
      </c>
      <c r="K432" s="22">
        <v>0.0</v>
      </c>
    </row>
    <row r="433">
      <c r="B433" s="37"/>
      <c r="C433" s="38"/>
      <c r="D433" s="38"/>
      <c r="I433" s="15" t="s">
        <v>86</v>
      </c>
      <c r="J433" s="15" t="s">
        <v>86</v>
      </c>
      <c r="K433" s="22">
        <v>0.0</v>
      </c>
    </row>
    <row r="434">
      <c r="B434" s="37"/>
      <c r="C434" s="38"/>
      <c r="D434" s="38"/>
      <c r="I434" s="15" t="s">
        <v>86</v>
      </c>
      <c r="J434" s="15" t="s">
        <v>86</v>
      </c>
      <c r="K434" s="22">
        <v>0.0</v>
      </c>
    </row>
    <row r="435">
      <c r="B435" s="37"/>
      <c r="C435" s="38"/>
      <c r="D435" s="38"/>
      <c r="I435" s="15" t="s">
        <v>86</v>
      </c>
      <c r="J435" s="15" t="s">
        <v>86</v>
      </c>
      <c r="K435" s="22">
        <v>0.0</v>
      </c>
    </row>
    <row r="436">
      <c r="B436" s="37"/>
      <c r="C436" s="38"/>
      <c r="D436" s="38"/>
      <c r="I436" s="15" t="s">
        <v>86</v>
      </c>
      <c r="J436" s="15" t="s">
        <v>86</v>
      </c>
      <c r="K436" s="22">
        <v>0.0</v>
      </c>
    </row>
    <row r="437">
      <c r="B437" s="37"/>
      <c r="C437" s="38"/>
      <c r="D437" s="38"/>
      <c r="I437" s="15" t="s">
        <v>86</v>
      </c>
      <c r="J437" s="15" t="s">
        <v>86</v>
      </c>
      <c r="K437" s="22">
        <v>0.0</v>
      </c>
    </row>
    <row r="438">
      <c r="B438" s="37"/>
      <c r="C438" s="38"/>
      <c r="D438" s="38"/>
      <c r="I438" s="15" t="s">
        <v>86</v>
      </c>
      <c r="J438" s="15" t="s">
        <v>86</v>
      </c>
      <c r="K438" s="22">
        <v>0.0</v>
      </c>
    </row>
    <row r="439">
      <c r="B439" s="37"/>
      <c r="C439" s="38"/>
      <c r="D439" s="38"/>
      <c r="I439" s="15" t="s">
        <v>86</v>
      </c>
      <c r="J439" s="15" t="s">
        <v>86</v>
      </c>
      <c r="K439" s="22">
        <v>0.0</v>
      </c>
    </row>
    <row r="440">
      <c r="B440" s="37"/>
      <c r="C440" s="38"/>
      <c r="D440" s="38"/>
      <c r="I440" s="15" t="s">
        <v>86</v>
      </c>
      <c r="J440" s="15" t="s">
        <v>86</v>
      </c>
      <c r="K440" s="22">
        <v>0.0</v>
      </c>
    </row>
    <row r="441">
      <c r="B441" s="37"/>
      <c r="C441" s="38"/>
      <c r="D441" s="38"/>
      <c r="I441" s="15" t="s">
        <v>86</v>
      </c>
      <c r="J441" s="15" t="s">
        <v>86</v>
      </c>
      <c r="K441" s="22">
        <v>0.0</v>
      </c>
    </row>
    <row r="442">
      <c r="B442" s="37"/>
      <c r="C442" s="38"/>
      <c r="D442" s="38"/>
      <c r="I442" s="15" t="s">
        <v>86</v>
      </c>
      <c r="J442" s="15" t="s">
        <v>86</v>
      </c>
      <c r="K442" s="22">
        <v>0.0</v>
      </c>
    </row>
    <row r="443">
      <c r="B443" s="37"/>
      <c r="C443" s="38"/>
      <c r="D443" s="38"/>
      <c r="I443" s="15" t="s">
        <v>86</v>
      </c>
      <c r="J443" s="15" t="s">
        <v>86</v>
      </c>
      <c r="K443" s="22">
        <v>0.0</v>
      </c>
    </row>
    <row r="444">
      <c r="B444" s="37"/>
      <c r="C444" s="38"/>
      <c r="D444" s="38"/>
      <c r="I444" s="15" t="s">
        <v>86</v>
      </c>
      <c r="J444" s="15" t="s">
        <v>86</v>
      </c>
      <c r="K444" s="22">
        <v>0.0</v>
      </c>
    </row>
    <row r="445">
      <c r="B445" s="37"/>
      <c r="C445" s="38"/>
      <c r="D445" s="38"/>
      <c r="I445" s="15" t="s">
        <v>86</v>
      </c>
      <c r="J445" s="15" t="s">
        <v>86</v>
      </c>
      <c r="K445" s="22">
        <v>0.0</v>
      </c>
    </row>
    <row r="446">
      <c r="B446" s="37"/>
      <c r="C446" s="38"/>
      <c r="D446" s="38"/>
      <c r="I446" s="15" t="s">
        <v>86</v>
      </c>
      <c r="J446" s="15" t="s">
        <v>86</v>
      </c>
      <c r="K446" s="22">
        <v>0.0</v>
      </c>
    </row>
    <row r="447">
      <c r="B447" s="37"/>
      <c r="C447" s="38"/>
      <c r="D447" s="38"/>
      <c r="I447" s="15" t="s">
        <v>86</v>
      </c>
      <c r="J447" s="15" t="s">
        <v>86</v>
      </c>
      <c r="K447" s="22">
        <v>0.0</v>
      </c>
    </row>
    <row r="448">
      <c r="B448" s="37"/>
      <c r="C448" s="38"/>
      <c r="D448" s="38"/>
      <c r="I448" s="15" t="s">
        <v>86</v>
      </c>
      <c r="J448" s="15" t="s">
        <v>86</v>
      </c>
      <c r="K448" s="22">
        <v>0.0</v>
      </c>
    </row>
    <row r="449">
      <c r="B449" s="37"/>
      <c r="C449" s="38"/>
      <c r="D449" s="38"/>
      <c r="I449" s="15" t="s">
        <v>86</v>
      </c>
      <c r="J449" s="15" t="s">
        <v>86</v>
      </c>
      <c r="K449" s="22">
        <v>0.0</v>
      </c>
    </row>
    <row r="450">
      <c r="B450" s="37"/>
      <c r="C450" s="38"/>
      <c r="D450" s="38"/>
      <c r="I450" s="15" t="s">
        <v>86</v>
      </c>
      <c r="J450" s="15" t="s">
        <v>86</v>
      </c>
      <c r="K450" s="22">
        <v>0.0</v>
      </c>
    </row>
    <row r="451">
      <c r="B451" s="37"/>
      <c r="C451" s="38"/>
      <c r="D451" s="38"/>
      <c r="I451" s="15" t="s">
        <v>86</v>
      </c>
      <c r="J451" s="15" t="s">
        <v>86</v>
      </c>
      <c r="K451" s="22">
        <v>0.0</v>
      </c>
    </row>
    <row r="452">
      <c r="B452" s="37"/>
      <c r="C452" s="38"/>
      <c r="D452" s="38"/>
      <c r="I452" s="15" t="s">
        <v>86</v>
      </c>
      <c r="J452" s="15" t="s">
        <v>86</v>
      </c>
      <c r="K452" s="22">
        <v>0.0</v>
      </c>
    </row>
    <row r="453">
      <c r="B453" s="37"/>
      <c r="C453" s="38"/>
      <c r="D453" s="38"/>
      <c r="I453" s="15" t="s">
        <v>86</v>
      </c>
      <c r="J453" s="15" t="s">
        <v>86</v>
      </c>
      <c r="K453" s="22">
        <v>0.0</v>
      </c>
    </row>
    <row r="454">
      <c r="B454" s="37"/>
      <c r="C454" s="38"/>
      <c r="D454" s="38"/>
      <c r="I454" s="15" t="s">
        <v>86</v>
      </c>
      <c r="J454" s="15" t="s">
        <v>86</v>
      </c>
      <c r="K454" s="22">
        <v>0.0</v>
      </c>
    </row>
    <row r="455">
      <c r="B455" s="37"/>
      <c r="C455" s="38"/>
      <c r="D455" s="38"/>
      <c r="I455" s="15" t="s">
        <v>86</v>
      </c>
      <c r="J455" s="15" t="s">
        <v>86</v>
      </c>
      <c r="K455" s="22">
        <v>0.0</v>
      </c>
    </row>
    <row r="456">
      <c r="B456" s="37"/>
      <c r="C456" s="38"/>
      <c r="D456" s="38"/>
      <c r="I456" s="15" t="s">
        <v>86</v>
      </c>
      <c r="J456" s="15" t="s">
        <v>86</v>
      </c>
      <c r="K456" s="22">
        <v>0.0</v>
      </c>
    </row>
    <row r="457">
      <c r="B457" s="37"/>
      <c r="C457" s="38"/>
      <c r="D457" s="38"/>
      <c r="I457" s="15" t="s">
        <v>86</v>
      </c>
      <c r="J457" s="15" t="s">
        <v>86</v>
      </c>
      <c r="K457" s="22">
        <v>0.0</v>
      </c>
    </row>
    <row r="458">
      <c r="B458" s="37"/>
      <c r="C458" s="38"/>
      <c r="D458" s="38"/>
      <c r="I458" s="15" t="s">
        <v>86</v>
      </c>
      <c r="J458" s="15" t="s">
        <v>86</v>
      </c>
      <c r="K458" s="22">
        <v>0.0</v>
      </c>
    </row>
    <row r="459">
      <c r="B459" s="37"/>
      <c r="C459" s="38"/>
      <c r="D459" s="38"/>
      <c r="I459" s="15" t="s">
        <v>86</v>
      </c>
      <c r="J459" s="15" t="s">
        <v>86</v>
      </c>
      <c r="K459" s="22">
        <v>0.0</v>
      </c>
    </row>
    <row r="460">
      <c r="B460" s="37"/>
      <c r="C460" s="38"/>
      <c r="D460" s="38"/>
      <c r="I460" s="15" t="s">
        <v>86</v>
      </c>
      <c r="J460" s="15" t="s">
        <v>86</v>
      </c>
      <c r="K460" s="22">
        <v>0.0</v>
      </c>
    </row>
    <row r="461">
      <c r="B461" s="37"/>
      <c r="C461" s="38"/>
      <c r="D461" s="38"/>
      <c r="I461" s="15" t="s">
        <v>86</v>
      </c>
      <c r="J461" s="15" t="s">
        <v>86</v>
      </c>
      <c r="K461" s="22">
        <v>0.0</v>
      </c>
    </row>
    <row r="462">
      <c r="B462" s="37"/>
      <c r="C462" s="38"/>
      <c r="D462" s="38"/>
      <c r="I462" s="15" t="s">
        <v>86</v>
      </c>
      <c r="J462" s="15" t="s">
        <v>86</v>
      </c>
      <c r="K462" s="22">
        <v>0.0</v>
      </c>
    </row>
    <row r="463">
      <c r="B463" s="37"/>
      <c r="C463" s="38"/>
      <c r="D463" s="38"/>
      <c r="I463" s="15" t="s">
        <v>86</v>
      </c>
      <c r="J463" s="15" t="s">
        <v>86</v>
      </c>
      <c r="K463" s="22">
        <v>0.0</v>
      </c>
    </row>
    <row r="464">
      <c r="B464" s="37"/>
      <c r="C464" s="38"/>
      <c r="D464" s="38"/>
      <c r="I464" s="15" t="s">
        <v>86</v>
      </c>
      <c r="J464" s="15" t="s">
        <v>86</v>
      </c>
      <c r="K464" s="22">
        <v>0.0</v>
      </c>
    </row>
    <row r="465">
      <c r="B465" s="37"/>
      <c r="C465" s="38"/>
      <c r="D465" s="38"/>
      <c r="I465" s="15" t="s">
        <v>86</v>
      </c>
      <c r="J465" s="15" t="s">
        <v>86</v>
      </c>
      <c r="K465" s="22">
        <v>0.0</v>
      </c>
    </row>
    <row r="466">
      <c r="B466" s="37"/>
      <c r="C466" s="38"/>
      <c r="D466" s="38"/>
      <c r="I466" s="15" t="s">
        <v>86</v>
      </c>
      <c r="J466" s="15" t="s">
        <v>86</v>
      </c>
      <c r="K466" s="22">
        <v>0.0</v>
      </c>
    </row>
    <row r="467">
      <c r="B467" s="37"/>
      <c r="C467" s="38"/>
      <c r="D467" s="38"/>
      <c r="I467" s="15" t="s">
        <v>86</v>
      </c>
      <c r="J467" s="15" t="s">
        <v>86</v>
      </c>
      <c r="K467" s="22">
        <v>0.0</v>
      </c>
    </row>
    <row r="468">
      <c r="B468" s="37"/>
      <c r="C468" s="38"/>
      <c r="D468" s="38"/>
      <c r="I468" s="15" t="s">
        <v>86</v>
      </c>
      <c r="J468" s="15" t="s">
        <v>86</v>
      </c>
      <c r="K468" s="22">
        <v>0.0</v>
      </c>
    </row>
    <row r="469">
      <c r="B469" s="37"/>
      <c r="C469" s="38"/>
      <c r="D469" s="38"/>
      <c r="I469" s="15" t="s">
        <v>86</v>
      </c>
      <c r="J469" s="15" t="s">
        <v>86</v>
      </c>
      <c r="K469" s="22">
        <v>0.0</v>
      </c>
    </row>
    <row r="470">
      <c r="B470" s="37"/>
      <c r="C470" s="38"/>
      <c r="D470" s="38"/>
      <c r="I470" s="15" t="s">
        <v>86</v>
      </c>
      <c r="J470" s="15" t="s">
        <v>86</v>
      </c>
      <c r="K470" s="22">
        <v>0.0</v>
      </c>
    </row>
    <row r="471">
      <c r="B471" s="37"/>
      <c r="C471" s="38"/>
      <c r="D471" s="38"/>
      <c r="I471" s="15" t="s">
        <v>86</v>
      </c>
      <c r="J471" s="15" t="s">
        <v>86</v>
      </c>
      <c r="K471" s="22">
        <v>0.0</v>
      </c>
    </row>
    <row r="472">
      <c r="B472" s="37"/>
      <c r="C472" s="38"/>
      <c r="D472" s="38"/>
      <c r="I472" s="15" t="s">
        <v>86</v>
      </c>
      <c r="J472" s="15" t="s">
        <v>86</v>
      </c>
      <c r="K472" s="22">
        <v>0.0</v>
      </c>
    </row>
    <row r="473">
      <c r="B473" s="37"/>
      <c r="C473" s="38"/>
      <c r="D473" s="38"/>
      <c r="I473" s="15" t="s">
        <v>86</v>
      </c>
      <c r="J473" s="15" t="s">
        <v>86</v>
      </c>
      <c r="K473" s="22">
        <v>0.0</v>
      </c>
    </row>
    <row r="474">
      <c r="B474" s="37"/>
      <c r="C474" s="38"/>
      <c r="D474" s="38"/>
      <c r="I474" s="15" t="s">
        <v>86</v>
      </c>
      <c r="J474" s="15" t="s">
        <v>86</v>
      </c>
      <c r="K474" s="22">
        <v>0.0</v>
      </c>
    </row>
    <row r="475">
      <c r="B475" s="37"/>
      <c r="C475" s="38"/>
      <c r="D475" s="38"/>
      <c r="I475" s="15" t="s">
        <v>86</v>
      </c>
      <c r="J475" s="15" t="s">
        <v>86</v>
      </c>
      <c r="K475" s="22">
        <v>0.0</v>
      </c>
    </row>
    <row r="476">
      <c r="B476" s="37"/>
      <c r="C476" s="38"/>
      <c r="D476" s="38"/>
      <c r="I476" s="15" t="s">
        <v>86</v>
      </c>
      <c r="J476" s="15" t="s">
        <v>86</v>
      </c>
      <c r="K476" s="22">
        <v>0.0</v>
      </c>
    </row>
    <row r="477">
      <c r="B477" s="37"/>
      <c r="C477" s="38"/>
      <c r="D477" s="38"/>
      <c r="I477" s="15" t="s">
        <v>86</v>
      </c>
      <c r="J477" s="15" t="s">
        <v>86</v>
      </c>
      <c r="K477" s="22">
        <v>0.0</v>
      </c>
    </row>
    <row r="478">
      <c r="B478" s="37"/>
      <c r="C478" s="38"/>
      <c r="D478" s="38"/>
      <c r="I478" s="15" t="s">
        <v>86</v>
      </c>
      <c r="J478" s="15" t="s">
        <v>86</v>
      </c>
      <c r="K478" s="22">
        <v>0.0</v>
      </c>
    </row>
    <row r="479">
      <c r="B479" s="37"/>
      <c r="C479" s="38"/>
      <c r="D479" s="38"/>
      <c r="I479" s="15" t="s">
        <v>86</v>
      </c>
      <c r="J479" s="15" t="s">
        <v>86</v>
      </c>
      <c r="K479" s="22">
        <v>0.0</v>
      </c>
    </row>
    <row r="480">
      <c r="B480" s="37"/>
      <c r="C480" s="38"/>
      <c r="D480" s="38"/>
      <c r="I480" s="15" t="s">
        <v>86</v>
      </c>
      <c r="J480" s="15" t="s">
        <v>86</v>
      </c>
      <c r="K480" s="22">
        <v>0.0</v>
      </c>
    </row>
    <row r="481">
      <c r="B481" s="37"/>
      <c r="C481" s="38"/>
      <c r="D481" s="38"/>
      <c r="I481" s="15" t="s">
        <v>86</v>
      </c>
      <c r="J481" s="15" t="s">
        <v>86</v>
      </c>
      <c r="K481" s="22">
        <v>0.0</v>
      </c>
    </row>
    <row r="482">
      <c r="B482" s="37"/>
      <c r="C482" s="38"/>
      <c r="D482" s="38"/>
      <c r="I482" s="15" t="s">
        <v>86</v>
      </c>
      <c r="J482" s="15" t="s">
        <v>86</v>
      </c>
      <c r="K482" s="22">
        <v>0.0</v>
      </c>
    </row>
    <row r="483">
      <c r="B483" s="37"/>
      <c r="C483" s="38"/>
      <c r="D483" s="38"/>
      <c r="I483" s="15" t="s">
        <v>86</v>
      </c>
      <c r="J483" s="15" t="s">
        <v>86</v>
      </c>
      <c r="K483" s="22">
        <v>0.0</v>
      </c>
    </row>
    <row r="484">
      <c r="B484" s="37"/>
      <c r="C484" s="38"/>
      <c r="D484" s="38"/>
      <c r="I484" s="15" t="s">
        <v>86</v>
      </c>
      <c r="J484" s="15" t="s">
        <v>86</v>
      </c>
      <c r="K484" s="22">
        <v>0.0</v>
      </c>
    </row>
    <row r="485">
      <c r="B485" s="37"/>
      <c r="C485" s="38"/>
      <c r="D485" s="38"/>
      <c r="I485" s="15" t="s">
        <v>86</v>
      </c>
      <c r="J485" s="15" t="s">
        <v>86</v>
      </c>
      <c r="K485" s="22">
        <v>0.0</v>
      </c>
    </row>
    <row r="486">
      <c r="B486" s="37"/>
      <c r="C486" s="38"/>
      <c r="D486" s="38"/>
      <c r="I486" s="15" t="s">
        <v>86</v>
      </c>
      <c r="J486" s="15" t="s">
        <v>86</v>
      </c>
      <c r="K486" s="22">
        <v>0.0</v>
      </c>
    </row>
    <row r="487">
      <c r="B487" s="37"/>
      <c r="C487" s="38"/>
      <c r="D487" s="38"/>
      <c r="I487" s="15" t="s">
        <v>86</v>
      </c>
      <c r="J487" s="15" t="s">
        <v>86</v>
      </c>
      <c r="K487" s="22">
        <v>0.0</v>
      </c>
    </row>
    <row r="488">
      <c r="B488" s="37"/>
      <c r="C488" s="38"/>
      <c r="D488" s="38"/>
      <c r="I488" s="15" t="s">
        <v>86</v>
      </c>
      <c r="J488" s="15" t="s">
        <v>86</v>
      </c>
      <c r="K488" s="22">
        <v>0.0</v>
      </c>
    </row>
    <row r="489">
      <c r="B489" s="37"/>
      <c r="C489" s="38"/>
      <c r="D489" s="38"/>
      <c r="I489" s="15" t="s">
        <v>86</v>
      </c>
      <c r="J489" s="15" t="s">
        <v>86</v>
      </c>
      <c r="K489" s="22">
        <v>0.0</v>
      </c>
    </row>
    <row r="490">
      <c r="B490" s="37"/>
      <c r="C490" s="38"/>
      <c r="D490" s="38"/>
      <c r="I490" s="15" t="s">
        <v>86</v>
      </c>
      <c r="J490" s="15" t="s">
        <v>86</v>
      </c>
      <c r="K490" s="22">
        <v>0.0</v>
      </c>
    </row>
    <row r="491">
      <c r="B491" s="37"/>
      <c r="C491" s="38"/>
      <c r="D491" s="38"/>
      <c r="I491" s="15" t="s">
        <v>86</v>
      </c>
      <c r="J491" s="15" t="s">
        <v>86</v>
      </c>
      <c r="K491" s="22">
        <v>0.0</v>
      </c>
    </row>
    <row r="492">
      <c r="B492" s="37"/>
      <c r="C492" s="38"/>
      <c r="D492" s="38"/>
      <c r="I492" s="15" t="s">
        <v>86</v>
      </c>
      <c r="J492" s="15" t="s">
        <v>86</v>
      </c>
      <c r="K492" s="22">
        <v>0.0</v>
      </c>
    </row>
    <row r="493">
      <c r="B493" s="37"/>
      <c r="C493" s="38"/>
      <c r="D493" s="38"/>
      <c r="I493" s="15" t="s">
        <v>86</v>
      </c>
      <c r="J493" s="15" t="s">
        <v>86</v>
      </c>
      <c r="K493" s="22">
        <v>0.0</v>
      </c>
    </row>
    <row r="494">
      <c r="B494" s="37"/>
      <c r="C494" s="38"/>
      <c r="D494" s="38"/>
      <c r="I494" s="15" t="s">
        <v>86</v>
      </c>
      <c r="J494" s="15" t="s">
        <v>86</v>
      </c>
      <c r="K494" s="22">
        <v>0.0</v>
      </c>
    </row>
    <row r="495">
      <c r="B495" s="37"/>
      <c r="C495" s="38"/>
      <c r="D495" s="38"/>
      <c r="I495" s="15" t="s">
        <v>86</v>
      </c>
      <c r="J495" s="15" t="s">
        <v>86</v>
      </c>
      <c r="K495" s="22">
        <v>0.0</v>
      </c>
    </row>
    <row r="496">
      <c r="B496" s="37"/>
      <c r="C496" s="38"/>
      <c r="D496" s="38"/>
      <c r="I496" s="15" t="s">
        <v>86</v>
      </c>
      <c r="J496" s="15" t="s">
        <v>86</v>
      </c>
      <c r="K496" s="22">
        <v>0.0</v>
      </c>
    </row>
    <row r="497">
      <c r="B497" s="37"/>
      <c r="C497" s="38"/>
      <c r="D497" s="38"/>
      <c r="I497" s="15" t="s">
        <v>86</v>
      </c>
      <c r="J497" s="15" t="s">
        <v>86</v>
      </c>
      <c r="K497" s="22">
        <v>0.0</v>
      </c>
    </row>
    <row r="498">
      <c r="B498" s="37"/>
      <c r="C498" s="38"/>
      <c r="D498" s="38"/>
      <c r="I498" s="15" t="s">
        <v>86</v>
      </c>
      <c r="J498" s="15" t="s">
        <v>86</v>
      </c>
      <c r="K498" s="22">
        <v>0.0</v>
      </c>
    </row>
    <row r="499">
      <c r="B499" s="37"/>
      <c r="C499" s="38"/>
      <c r="D499" s="38"/>
      <c r="I499" s="15" t="s">
        <v>86</v>
      </c>
      <c r="J499" s="15" t="s">
        <v>86</v>
      </c>
      <c r="K499" s="22">
        <v>0.0</v>
      </c>
    </row>
    <row r="500">
      <c r="B500" s="37"/>
      <c r="C500" s="38"/>
      <c r="D500" s="38"/>
      <c r="I500" s="15" t="s">
        <v>86</v>
      </c>
      <c r="J500" s="15" t="s">
        <v>86</v>
      </c>
      <c r="K500" s="22">
        <v>0.0</v>
      </c>
    </row>
    <row r="501">
      <c r="B501" s="37"/>
      <c r="C501" s="38"/>
      <c r="D501" s="38"/>
      <c r="I501" s="15" t="s">
        <v>86</v>
      </c>
      <c r="J501" s="15" t="s">
        <v>86</v>
      </c>
      <c r="K501" s="22">
        <v>0.0</v>
      </c>
    </row>
    <row r="502">
      <c r="B502" s="37"/>
      <c r="C502" s="38"/>
      <c r="D502" s="38"/>
      <c r="I502" s="15" t="s">
        <v>86</v>
      </c>
      <c r="J502" s="15" t="s">
        <v>86</v>
      </c>
      <c r="K502" s="22">
        <v>0.0</v>
      </c>
    </row>
    <row r="503">
      <c r="B503" s="37"/>
      <c r="C503" s="38"/>
      <c r="D503" s="38"/>
      <c r="I503" s="15" t="s">
        <v>86</v>
      </c>
      <c r="J503" s="15" t="s">
        <v>86</v>
      </c>
      <c r="K503" s="22">
        <v>0.0</v>
      </c>
    </row>
    <row r="504">
      <c r="B504" s="37"/>
      <c r="C504" s="38"/>
      <c r="D504" s="38"/>
      <c r="I504" s="15" t="s">
        <v>86</v>
      </c>
      <c r="J504" s="15" t="s">
        <v>86</v>
      </c>
      <c r="K504" s="22">
        <v>0.0</v>
      </c>
    </row>
    <row r="505">
      <c r="B505" s="37"/>
      <c r="C505" s="38"/>
      <c r="D505" s="38"/>
      <c r="I505" s="15" t="s">
        <v>86</v>
      </c>
      <c r="J505" s="15" t="s">
        <v>86</v>
      </c>
      <c r="K505" s="22">
        <v>0.0</v>
      </c>
    </row>
    <row r="506">
      <c r="B506" s="37"/>
      <c r="C506" s="38"/>
      <c r="D506" s="38"/>
      <c r="I506" s="15" t="s">
        <v>86</v>
      </c>
      <c r="J506" s="15" t="s">
        <v>86</v>
      </c>
      <c r="K506" s="22">
        <v>0.0</v>
      </c>
    </row>
    <row r="507">
      <c r="B507" s="37"/>
      <c r="C507" s="38"/>
      <c r="D507" s="38"/>
      <c r="I507" s="15" t="s">
        <v>86</v>
      </c>
      <c r="J507" s="15" t="s">
        <v>86</v>
      </c>
      <c r="K507" s="22">
        <v>0.0</v>
      </c>
    </row>
    <row r="508">
      <c r="B508" s="37"/>
      <c r="C508" s="38"/>
      <c r="D508" s="38"/>
      <c r="I508" s="15" t="s">
        <v>86</v>
      </c>
      <c r="J508" s="15" t="s">
        <v>86</v>
      </c>
      <c r="K508" s="22">
        <v>0.0</v>
      </c>
    </row>
    <row r="509">
      <c r="B509" s="37"/>
      <c r="C509" s="38"/>
      <c r="D509" s="38"/>
      <c r="I509" s="15" t="s">
        <v>86</v>
      </c>
      <c r="J509" s="15" t="s">
        <v>86</v>
      </c>
      <c r="K509" s="22">
        <v>0.0</v>
      </c>
    </row>
    <row r="510">
      <c r="B510" s="37"/>
      <c r="C510" s="38"/>
      <c r="D510" s="38"/>
      <c r="I510" s="15" t="s">
        <v>86</v>
      </c>
      <c r="J510" s="15" t="s">
        <v>86</v>
      </c>
      <c r="K510" s="22">
        <v>0.0</v>
      </c>
    </row>
    <row r="511">
      <c r="B511" s="37"/>
      <c r="C511" s="38"/>
      <c r="D511" s="38"/>
      <c r="I511" s="15" t="s">
        <v>86</v>
      </c>
      <c r="J511" s="15" t="s">
        <v>86</v>
      </c>
      <c r="K511" s="22">
        <v>0.0</v>
      </c>
    </row>
    <row r="512">
      <c r="B512" s="37"/>
      <c r="C512" s="38"/>
      <c r="D512" s="38"/>
      <c r="I512" s="15" t="s">
        <v>86</v>
      </c>
      <c r="J512" s="15" t="s">
        <v>86</v>
      </c>
      <c r="K512" s="22">
        <v>0.0</v>
      </c>
    </row>
    <row r="513">
      <c r="B513" s="37"/>
      <c r="C513" s="38"/>
      <c r="D513" s="38"/>
      <c r="I513" s="15" t="s">
        <v>86</v>
      </c>
      <c r="J513" s="15" t="s">
        <v>86</v>
      </c>
      <c r="K513" s="22">
        <v>0.0</v>
      </c>
    </row>
    <row r="514">
      <c r="B514" s="37"/>
      <c r="C514" s="38"/>
      <c r="D514" s="38"/>
      <c r="I514" s="15" t="s">
        <v>86</v>
      </c>
      <c r="J514" s="15" t="s">
        <v>86</v>
      </c>
      <c r="K514" s="22">
        <v>0.0</v>
      </c>
    </row>
    <row r="515">
      <c r="B515" s="37"/>
      <c r="C515" s="38"/>
      <c r="D515" s="38"/>
      <c r="I515" s="15" t="s">
        <v>86</v>
      </c>
      <c r="J515" s="15" t="s">
        <v>86</v>
      </c>
      <c r="K515" s="22">
        <v>0.0</v>
      </c>
    </row>
    <row r="516">
      <c r="B516" s="37"/>
      <c r="C516" s="38"/>
      <c r="D516" s="38"/>
      <c r="I516" s="15" t="s">
        <v>86</v>
      </c>
      <c r="J516" s="15" t="s">
        <v>86</v>
      </c>
      <c r="K516" s="22">
        <v>0.0</v>
      </c>
    </row>
    <row r="517">
      <c r="B517" s="37"/>
      <c r="C517" s="38"/>
      <c r="D517" s="38"/>
      <c r="I517" s="15" t="s">
        <v>86</v>
      </c>
      <c r="J517" s="15" t="s">
        <v>86</v>
      </c>
      <c r="K517" s="22">
        <v>0.0</v>
      </c>
    </row>
    <row r="518">
      <c r="B518" s="37"/>
      <c r="C518" s="38"/>
      <c r="D518" s="38"/>
      <c r="I518" s="15" t="s">
        <v>86</v>
      </c>
      <c r="J518" s="15" t="s">
        <v>86</v>
      </c>
      <c r="K518" s="22">
        <v>0.0</v>
      </c>
    </row>
    <row r="519">
      <c r="B519" s="37"/>
      <c r="C519" s="38"/>
      <c r="D519" s="38"/>
      <c r="I519" s="15" t="s">
        <v>86</v>
      </c>
      <c r="J519" s="15" t="s">
        <v>86</v>
      </c>
      <c r="K519" s="22">
        <v>0.0</v>
      </c>
    </row>
    <row r="520">
      <c r="B520" s="37"/>
      <c r="C520" s="38"/>
      <c r="D520" s="38"/>
      <c r="I520" s="15" t="s">
        <v>86</v>
      </c>
      <c r="J520" s="15" t="s">
        <v>86</v>
      </c>
      <c r="K520" s="22">
        <v>0.0</v>
      </c>
    </row>
    <row r="521">
      <c r="B521" s="37"/>
      <c r="C521" s="38"/>
      <c r="D521" s="38"/>
      <c r="I521" s="15" t="s">
        <v>86</v>
      </c>
      <c r="J521" s="15" t="s">
        <v>86</v>
      </c>
      <c r="K521" s="22">
        <v>0.0</v>
      </c>
    </row>
    <row r="522">
      <c r="B522" s="37"/>
      <c r="C522" s="38"/>
      <c r="D522" s="38"/>
      <c r="I522" s="15" t="s">
        <v>86</v>
      </c>
      <c r="J522" s="15" t="s">
        <v>86</v>
      </c>
      <c r="K522" s="22">
        <v>0.0</v>
      </c>
    </row>
    <row r="523">
      <c r="B523" s="37"/>
      <c r="C523" s="38"/>
      <c r="D523" s="38"/>
      <c r="I523" s="15" t="s">
        <v>86</v>
      </c>
      <c r="J523" s="15" t="s">
        <v>86</v>
      </c>
      <c r="K523" s="22">
        <v>0.0</v>
      </c>
    </row>
    <row r="524">
      <c r="B524" s="37"/>
      <c r="C524" s="38"/>
      <c r="D524" s="38"/>
      <c r="I524" s="15" t="s">
        <v>86</v>
      </c>
      <c r="J524" s="15" t="s">
        <v>86</v>
      </c>
      <c r="K524" s="22">
        <v>0.0</v>
      </c>
    </row>
    <row r="525">
      <c r="B525" s="37"/>
      <c r="C525" s="38"/>
      <c r="D525" s="38"/>
      <c r="I525" s="15" t="s">
        <v>86</v>
      </c>
      <c r="J525" s="15" t="s">
        <v>86</v>
      </c>
      <c r="K525" s="22">
        <v>0.0</v>
      </c>
    </row>
    <row r="526">
      <c r="B526" s="37"/>
      <c r="C526" s="38"/>
      <c r="D526" s="38"/>
      <c r="I526" s="15" t="s">
        <v>86</v>
      </c>
      <c r="J526" s="15" t="s">
        <v>86</v>
      </c>
      <c r="K526" s="22">
        <v>0.0</v>
      </c>
    </row>
    <row r="527">
      <c r="B527" s="37"/>
      <c r="C527" s="38"/>
      <c r="D527" s="38"/>
      <c r="I527" s="15" t="s">
        <v>86</v>
      </c>
      <c r="J527" s="15" t="s">
        <v>86</v>
      </c>
      <c r="K527" s="22">
        <v>0.0</v>
      </c>
    </row>
    <row r="528">
      <c r="B528" s="37"/>
      <c r="C528" s="38"/>
      <c r="D528" s="38"/>
      <c r="I528" s="15" t="s">
        <v>86</v>
      </c>
      <c r="J528" s="15" t="s">
        <v>86</v>
      </c>
      <c r="K528" s="22">
        <v>0.0</v>
      </c>
    </row>
    <row r="529">
      <c r="B529" s="37"/>
      <c r="C529" s="38"/>
      <c r="D529" s="38"/>
      <c r="I529" s="15" t="s">
        <v>86</v>
      </c>
      <c r="J529" s="15" t="s">
        <v>86</v>
      </c>
      <c r="K529" s="22">
        <v>0.0</v>
      </c>
    </row>
    <row r="530">
      <c r="B530" s="37"/>
      <c r="C530" s="38"/>
      <c r="D530" s="38"/>
      <c r="I530" s="15" t="s">
        <v>86</v>
      </c>
      <c r="J530" s="15" t="s">
        <v>86</v>
      </c>
      <c r="K530" s="22">
        <v>0.0</v>
      </c>
    </row>
    <row r="531">
      <c r="B531" s="37"/>
      <c r="C531" s="38"/>
      <c r="D531" s="38"/>
      <c r="I531" s="15" t="s">
        <v>86</v>
      </c>
      <c r="J531" s="15" t="s">
        <v>86</v>
      </c>
      <c r="K531" s="22">
        <v>0.0</v>
      </c>
    </row>
    <row r="532">
      <c r="B532" s="37"/>
      <c r="C532" s="38"/>
      <c r="D532" s="38"/>
      <c r="I532" s="15" t="s">
        <v>86</v>
      </c>
      <c r="J532" s="15" t="s">
        <v>86</v>
      </c>
      <c r="K532" s="22">
        <v>0.0</v>
      </c>
    </row>
    <row r="533">
      <c r="B533" s="37"/>
      <c r="C533" s="38"/>
      <c r="D533" s="38"/>
      <c r="I533" s="15" t="s">
        <v>86</v>
      </c>
      <c r="J533" s="15" t="s">
        <v>86</v>
      </c>
      <c r="K533" s="22">
        <v>0.0</v>
      </c>
    </row>
    <row r="534">
      <c r="B534" s="37"/>
      <c r="C534" s="38"/>
      <c r="D534" s="38"/>
      <c r="I534" s="15" t="s">
        <v>86</v>
      </c>
      <c r="J534" s="15" t="s">
        <v>86</v>
      </c>
      <c r="K534" s="22">
        <v>0.0</v>
      </c>
    </row>
    <row r="535">
      <c r="B535" s="37"/>
      <c r="C535" s="38"/>
      <c r="D535" s="38"/>
      <c r="I535" s="15" t="s">
        <v>86</v>
      </c>
      <c r="J535" s="15" t="s">
        <v>86</v>
      </c>
      <c r="K535" s="22">
        <v>0.0</v>
      </c>
    </row>
    <row r="536">
      <c r="B536" s="37"/>
      <c r="C536" s="38"/>
      <c r="D536" s="38"/>
      <c r="I536" s="15" t="s">
        <v>86</v>
      </c>
      <c r="J536" s="15" t="s">
        <v>86</v>
      </c>
      <c r="K536" s="22">
        <v>0.0</v>
      </c>
    </row>
    <row r="537">
      <c r="B537" s="37"/>
      <c r="C537" s="38"/>
      <c r="D537" s="38"/>
      <c r="I537" s="15" t="s">
        <v>86</v>
      </c>
      <c r="J537" s="15" t="s">
        <v>86</v>
      </c>
      <c r="K537" s="22">
        <v>0.0</v>
      </c>
    </row>
    <row r="538">
      <c r="B538" s="37"/>
      <c r="C538" s="38"/>
      <c r="D538" s="38"/>
      <c r="I538" s="15" t="s">
        <v>86</v>
      </c>
      <c r="J538" s="15" t="s">
        <v>86</v>
      </c>
      <c r="K538" s="22">
        <v>0.0</v>
      </c>
    </row>
    <row r="539">
      <c r="B539" s="37"/>
      <c r="C539" s="38"/>
      <c r="D539" s="38"/>
      <c r="I539" s="15" t="s">
        <v>86</v>
      </c>
      <c r="J539" s="15" t="s">
        <v>86</v>
      </c>
      <c r="K539" s="22">
        <v>0.0</v>
      </c>
    </row>
    <row r="540">
      <c r="B540" s="37"/>
      <c r="C540" s="38"/>
      <c r="D540" s="38"/>
      <c r="I540" s="15" t="s">
        <v>86</v>
      </c>
      <c r="J540" s="15" t="s">
        <v>86</v>
      </c>
      <c r="K540" s="22">
        <v>0.0</v>
      </c>
    </row>
    <row r="541">
      <c r="B541" s="37"/>
      <c r="C541" s="38"/>
      <c r="D541" s="38"/>
      <c r="I541" s="15" t="s">
        <v>86</v>
      </c>
      <c r="J541" s="15" t="s">
        <v>86</v>
      </c>
      <c r="K541" s="22">
        <v>0.0</v>
      </c>
    </row>
    <row r="542">
      <c r="B542" s="37"/>
      <c r="C542" s="38"/>
      <c r="D542" s="38"/>
      <c r="I542" s="15" t="s">
        <v>86</v>
      </c>
      <c r="J542" s="15" t="s">
        <v>86</v>
      </c>
      <c r="K542" s="22">
        <v>0.0</v>
      </c>
    </row>
    <row r="543">
      <c r="B543" s="37"/>
      <c r="C543" s="38"/>
      <c r="D543" s="38"/>
      <c r="I543" s="15" t="s">
        <v>86</v>
      </c>
      <c r="J543" s="15" t="s">
        <v>86</v>
      </c>
      <c r="K543" s="22">
        <v>0.0</v>
      </c>
    </row>
    <row r="544">
      <c r="B544" s="37"/>
      <c r="C544" s="38"/>
      <c r="D544" s="38"/>
      <c r="I544" s="15" t="s">
        <v>86</v>
      </c>
      <c r="J544" s="15" t="s">
        <v>86</v>
      </c>
      <c r="K544" s="22">
        <v>0.0</v>
      </c>
    </row>
    <row r="545">
      <c r="B545" s="37"/>
      <c r="C545" s="38"/>
      <c r="D545" s="38"/>
      <c r="I545" s="15" t="s">
        <v>86</v>
      </c>
      <c r="J545" s="15" t="s">
        <v>86</v>
      </c>
      <c r="K545" s="22">
        <v>0.0</v>
      </c>
    </row>
    <row r="546">
      <c r="B546" s="37"/>
      <c r="C546" s="38"/>
      <c r="D546" s="38"/>
      <c r="I546" s="15" t="s">
        <v>86</v>
      </c>
      <c r="J546" s="15" t="s">
        <v>86</v>
      </c>
      <c r="K546" s="22">
        <v>0.0</v>
      </c>
    </row>
    <row r="547">
      <c r="B547" s="37"/>
      <c r="C547" s="38"/>
      <c r="D547" s="38"/>
      <c r="I547" s="15" t="s">
        <v>86</v>
      </c>
      <c r="J547" s="15" t="s">
        <v>86</v>
      </c>
      <c r="K547" s="22">
        <v>0.0</v>
      </c>
    </row>
    <row r="548">
      <c r="B548" s="37"/>
      <c r="C548" s="38"/>
      <c r="D548" s="38"/>
      <c r="I548" s="15" t="s">
        <v>86</v>
      </c>
      <c r="J548" s="15" t="s">
        <v>86</v>
      </c>
      <c r="K548" s="22">
        <v>0.0</v>
      </c>
    </row>
    <row r="549">
      <c r="B549" s="37"/>
      <c r="C549" s="38"/>
      <c r="D549" s="38"/>
      <c r="I549" s="15" t="s">
        <v>86</v>
      </c>
      <c r="J549" s="15" t="s">
        <v>86</v>
      </c>
      <c r="K549" s="22">
        <v>0.0</v>
      </c>
    </row>
    <row r="550">
      <c r="B550" s="37"/>
      <c r="C550" s="38"/>
      <c r="D550" s="38"/>
      <c r="I550" s="15" t="s">
        <v>86</v>
      </c>
      <c r="J550" s="15" t="s">
        <v>86</v>
      </c>
      <c r="K550" s="22">
        <v>0.0</v>
      </c>
    </row>
    <row r="551">
      <c r="B551" s="37"/>
      <c r="C551" s="38"/>
      <c r="D551" s="38"/>
      <c r="I551" s="15" t="s">
        <v>86</v>
      </c>
      <c r="J551" s="15" t="s">
        <v>86</v>
      </c>
      <c r="K551" s="22">
        <v>0.0</v>
      </c>
    </row>
    <row r="552">
      <c r="B552" s="37"/>
      <c r="C552" s="38"/>
      <c r="D552" s="38"/>
      <c r="I552" s="15" t="s">
        <v>86</v>
      </c>
      <c r="J552" s="15" t="s">
        <v>86</v>
      </c>
      <c r="K552" s="22">
        <v>0.0</v>
      </c>
    </row>
    <row r="553">
      <c r="B553" s="37"/>
      <c r="C553" s="38"/>
      <c r="D553" s="38"/>
      <c r="I553" s="15" t="s">
        <v>86</v>
      </c>
      <c r="J553" s="15" t="s">
        <v>86</v>
      </c>
      <c r="K553" s="22">
        <v>0.0</v>
      </c>
    </row>
    <row r="554">
      <c r="B554" s="37"/>
      <c r="C554" s="38"/>
      <c r="D554" s="38"/>
      <c r="I554" s="15" t="s">
        <v>86</v>
      </c>
      <c r="J554" s="15" t="s">
        <v>86</v>
      </c>
      <c r="K554" s="22">
        <v>0.0</v>
      </c>
    </row>
    <row r="555">
      <c r="B555" s="37"/>
      <c r="C555" s="38"/>
      <c r="D555" s="38"/>
      <c r="I555" s="15" t="s">
        <v>86</v>
      </c>
      <c r="J555" s="15" t="s">
        <v>86</v>
      </c>
      <c r="K555" s="22">
        <v>0.0</v>
      </c>
    </row>
    <row r="556">
      <c r="B556" s="37"/>
      <c r="C556" s="38"/>
      <c r="D556" s="38"/>
      <c r="I556" s="15" t="s">
        <v>86</v>
      </c>
      <c r="J556" s="15" t="s">
        <v>86</v>
      </c>
      <c r="K556" s="22">
        <v>0.0</v>
      </c>
    </row>
    <row r="557">
      <c r="B557" s="37"/>
      <c r="C557" s="38"/>
      <c r="D557" s="38"/>
      <c r="I557" s="15" t="s">
        <v>86</v>
      </c>
      <c r="J557" s="15" t="s">
        <v>86</v>
      </c>
      <c r="K557" s="22">
        <v>0.0</v>
      </c>
    </row>
    <row r="558">
      <c r="B558" s="37"/>
      <c r="C558" s="38"/>
      <c r="D558" s="38"/>
      <c r="I558" s="15" t="s">
        <v>86</v>
      </c>
      <c r="J558" s="15" t="s">
        <v>86</v>
      </c>
      <c r="K558" s="22">
        <v>0.0</v>
      </c>
    </row>
    <row r="559">
      <c r="B559" s="37"/>
      <c r="C559" s="38"/>
      <c r="D559" s="38"/>
      <c r="I559" s="15" t="s">
        <v>86</v>
      </c>
      <c r="J559" s="15" t="s">
        <v>86</v>
      </c>
      <c r="K559" s="22">
        <v>0.0</v>
      </c>
    </row>
    <row r="560">
      <c r="B560" s="37"/>
      <c r="C560" s="38"/>
      <c r="D560" s="38"/>
      <c r="I560" s="15" t="s">
        <v>86</v>
      </c>
      <c r="J560" s="15" t="s">
        <v>86</v>
      </c>
      <c r="K560" s="22">
        <v>0.0</v>
      </c>
    </row>
    <row r="561">
      <c r="B561" s="37"/>
      <c r="C561" s="38"/>
      <c r="D561" s="38"/>
      <c r="I561" s="15" t="s">
        <v>86</v>
      </c>
      <c r="J561" s="15" t="s">
        <v>86</v>
      </c>
      <c r="K561" s="22">
        <v>0.0</v>
      </c>
    </row>
    <row r="562">
      <c r="B562" s="37"/>
      <c r="C562" s="38"/>
      <c r="D562" s="38"/>
      <c r="I562" s="15" t="s">
        <v>86</v>
      </c>
      <c r="J562" s="15" t="s">
        <v>86</v>
      </c>
      <c r="K562" s="22">
        <v>0.0</v>
      </c>
    </row>
    <row r="563">
      <c r="B563" s="37"/>
      <c r="C563" s="38"/>
      <c r="D563" s="38"/>
      <c r="I563" s="15" t="s">
        <v>86</v>
      </c>
      <c r="J563" s="15" t="s">
        <v>86</v>
      </c>
      <c r="K563" s="22">
        <v>0.0</v>
      </c>
    </row>
    <row r="564">
      <c r="B564" s="37"/>
      <c r="C564" s="38"/>
      <c r="D564" s="38"/>
      <c r="I564" s="15" t="s">
        <v>86</v>
      </c>
      <c r="J564" s="15" t="s">
        <v>86</v>
      </c>
      <c r="K564" s="22">
        <v>0.0</v>
      </c>
    </row>
    <row r="565">
      <c r="B565" s="37"/>
      <c r="C565" s="38"/>
      <c r="D565" s="38"/>
      <c r="I565" s="15" t="s">
        <v>86</v>
      </c>
      <c r="J565" s="15" t="s">
        <v>86</v>
      </c>
      <c r="K565" s="22">
        <v>0.0</v>
      </c>
    </row>
    <row r="566">
      <c r="B566" s="37"/>
      <c r="C566" s="38"/>
      <c r="D566" s="38"/>
      <c r="I566" s="15" t="s">
        <v>86</v>
      </c>
      <c r="J566" s="15" t="s">
        <v>86</v>
      </c>
      <c r="K566" s="22">
        <v>0.0</v>
      </c>
    </row>
    <row r="567">
      <c r="B567" s="37"/>
      <c r="C567" s="38"/>
      <c r="D567" s="38"/>
      <c r="I567" s="15" t="s">
        <v>86</v>
      </c>
      <c r="J567" s="15" t="s">
        <v>86</v>
      </c>
      <c r="K567" s="22">
        <v>0.0</v>
      </c>
    </row>
    <row r="568">
      <c r="B568" s="37"/>
      <c r="C568" s="38"/>
      <c r="D568" s="38"/>
      <c r="I568" s="15" t="s">
        <v>86</v>
      </c>
      <c r="J568" s="15" t="s">
        <v>86</v>
      </c>
      <c r="K568" s="22">
        <v>0.0</v>
      </c>
    </row>
    <row r="569">
      <c r="B569" s="37"/>
      <c r="C569" s="38"/>
      <c r="D569" s="38"/>
      <c r="I569" s="15" t="s">
        <v>86</v>
      </c>
      <c r="J569" s="15" t="s">
        <v>86</v>
      </c>
      <c r="K569" s="22">
        <v>0.0</v>
      </c>
    </row>
    <row r="570">
      <c r="B570" s="37"/>
      <c r="C570" s="38"/>
      <c r="D570" s="38"/>
      <c r="I570" s="15" t="s">
        <v>86</v>
      </c>
      <c r="J570" s="15" t="s">
        <v>86</v>
      </c>
      <c r="K570" s="22">
        <v>0.0</v>
      </c>
    </row>
    <row r="571">
      <c r="B571" s="37"/>
      <c r="C571" s="38"/>
      <c r="D571" s="38"/>
      <c r="I571" s="15" t="s">
        <v>86</v>
      </c>
      <c r="J571" s="15" t="s">
        <v>86</v>
      </c>
      <c r="K571" s="22">
        <v>0.0</v>
      </c>
    </row>
    <row r="572">
      <c r="B572" s="37"/>
      <c r="C572" s="38"/>
      <c r="D572" s="38"/>
      <c r="I572" s="15" t="s">
        <v>86</v>
      </c>
      <c r="J572" s="15" t="s">
        <v>86</v>
      </c>
      <c r="K572" s="22">
        <v>0.0</v>
      </c>
    </row>
    <row r="573">
      <c r="B573" s="37"/>
      <c r="C573" s="38"/>
      <c r="D573" s="38"/>
      <c r="I573" s="15" t="s">
        <v>86</v>
      </c>
      <c r="J573" s="15" t="s">
        <v>86</v>
      </c>
      <c r="K573" s="22">
        <v>0.0</v>
      </c>
    </row>
    <row r="574">
      <c r="B574" s="37"/>
      <c r="C574" s="38"/>
      <c r="D574" s="38"/>
      <c r="I574" s="15" t="s">
        <v>86</v>
      </c>
      <c r="J574" s="15" t="s">
        <v>86</v>
      </c>
      <c r="K574" s="22">
        <v>0.0</v>
      </c>
    </row>
    <row r="575">
      <c r="B575" s="37"/>
      <c r="C575" s="38"/>
      <c r="D575" s="38"/>
      <c r="I575" s="15" t="s">
        <v>86</v>
      </c>
      <c r="J575" s="15" t="s">
        <v>86</v>
      </c>
      <c r="K575" s="22">
        <v>0.0</v>
      </c>
    </row>
    <row r="576">
      <c r="B576" s="37"/>
      <c r="C576" s="38"/>
      <c r="D576" s="38"/>
      <c r="I576" s="15" t="s">
        <v>86</v>
      </c>
      <c r="J576" s="15" t="s">
        <v>86</v>
      </c>
      <c r="K576" s="22">
        <v>0.0</v>
      </c>
    </row>
    <row r="577">
      <c r="B577" s="37"/>
      <c r="C577" s="38"/>
      <c r="D577" s="38"/>
      <c r="I577" s="15" t="s">
        <v>86</v>
      </c>
      <c r="J577" s="15" t="s">
        <v>86</v>
      </c>
      <c r="K577" s="22">
        <v>0.0</v>
      </c>
    </row>
    <row r="578">
      <c r="B578" s="37"/>
      <c r="C578" s="38"/>
      <c r="D578" s="38"/>
      <c r="I578" s="15" t="s">
        <v>86</v>
      </c>
      <c r="J578" s="15" t="s">
        <v>86</v>
      </c>
      <c r="K578" s="22">
        <v>0.0</v>
      </c>
    </row>
    <row r="579">
      <c r="B579" s="37"/>
      <c r="C579" s="38"/>
      <c r="D579" s="38"/>
      <c r="I579" s="15" t="s">
        <v>86</v>
      </c>
      <c r="J579" s="15" t="s">
        <v>86</v>
      </c>
      <c r="K579" s="22">
        <v>0.0</v>
      </c>
    </row>
    <row r="580">
      <c r="B580" s="37"/>
      <c r="C580" s="38"/>
      <c r="D580" s="38"/>
      <c r="I580" s="15" t="s">
        <v>86</v>
      </c>
      <c r="J580" s="15" t="s">
        <v>86</v>
      </c>
      <c r="K580" s="22">
        <v>0.0</v>
      </c>
    </row>
    <row r="581">
      <c r="B581" s="37"/>
      <c r="C581" s="38"/>
      <c r="D581" s="38"/>
      <c r="I581" s="15" t="s">
        <v>86</v>
      </c>
      <c r="J581" s="15" t="s">
        <v>86</v>
      </c>
      <c r="K581" s="22">
        <v>0.0</v>
      </c>
    </row>
    <row r="582">
      <c r="B582" s="37"/>
      <c r="C582" s="38"/>
      <c r="D582" s="38"/>
      <c r="I582" s="15" t="s">
        <v>86</v>
      </c>
      <c r="J582" s="15" t="s">
        <v>86</v>
      </c>
      <c r="K582" s="22">
        <v>0.0</v>
      </c>
    </row>
    <row r="583">
      <c r="B583" s="37"/>
      <c r="C583" s="38"/>
      <c r="D583" s="38"/>
      <c r="I583" s="15" t="s">
        <v>86</v>
      </c>
      <c r="J583" s="15" t="s">
        <v>86</v>
      </c>
      <c r="K583" s="22">
        <v>0.0</v>
      </c>
    </row>
    <row r="584">
      <c r="B584" s="37"/>
      <c r="C584" s="38"/>
      <c r="D584" s="38"/>
      <c r="I584" s="15" t="s">
        <v>86</v>
      </c>
      <c r="J584" s="15" t="s">
        <v>86</v>
      </c>
      <c r="K584" s="22">
        <v>0.0</v>
      </c>
    </row>
    <row r="585">
      <c r="B585" s="37"/>
      <c r="C585" s="38"/>
      <c r="D585" s="38"/>
      <c r="I585" s="15" t="s">
        <v>86</v>
      </c>
      <c r="J585" s="15" t="s">
        <v>86</v>
      </c>
      <c r="K585" s="22">
        <v>0.0</v>
      </c>
    </row>
    <row r="586">
      <c r="B586" s="37"/>
      <c r="C586" s="38"/>
      <c r="D586" s="38"/>
      <c r="I586" s="15" t="s">
        <v>86</v>
      </c>
      <c r="J586" s="15" t="s">
        <v>86</v>
      </c>
      <c r="K586" s="22">
        <v>0.0</v>
      </c>
    </row>
    <row r="587">
      <c r="B587" s="37"/>
      <c r="C587" s="38"/>
      <c r="D587" s="38"/>
      <c r="I587" s="15" t="s">
        <v>86</v>
      </c>
      <c r="J587" s="15" t="s">
        <v>86</v>
      </c>
      <c r="K587" s="22">
        <v>0.0</v>
      </c>
    </row>
    <row r="588">
      <c r="B588" s="37"/>
      <c r="C588" s="38"/>
      <c r="D588" s="38"/>
      <c r="I588" s="15" t="s">
        <v>86</v>
      </c>
      <c r="J588" s="15" t="s">
        <v>86</v>
      </c>
      <c r="K588" s="22">
        <v>0.0</v>
      </c>
    </row>
    <row r="589">
      <c r="B589" s="37"/>
      <c r="C589" s="38"/>
      <c r="D589" s="38"/>
      <c r="I589" s="15" t="s">
        <v>86</v>
      </c>
      <c r="J589" s="15" t="s">
        <v>86</v>
      </c>
      <c r="K589" s="22">
        <v>0.0</v>
      </c>
    </row>
    <row r="590">
      <c r="B590" s="37"/>
      <c r="C590" s="38"/>
      <c r="D590" s="38"/>
      <c r="I590" s="15" t="s">
        <v>86</v>
      </c>
      <c r="J590" s="15" t="s">
        <v>86</v>
      </c>
      <c r="K590" s="22">
        <v>0.0</v>
      </c>
    </row>
    <row r="591">
      <c r="B591" s="37"/>
      <c r="C591" s="38"/>
      <c r="D591" s="38"/>
      <c r="I591" s="15" t="s">
        <v>86</v>
      </c>
      <c r="J591" s="15" t="s">
        <v>86</v>
      </c>
      <c r="K591" s="22">
        <v>0.0</v>
      </c>
    </row>
    <row r="592">
      <c r="B592" s="37"/>
      <c r="C592" s="38"/>
      <c r="D592" s="38"/>
      <c r="I592" s="15" t="s">
        <v>86</v>
      </c>
      <c r="J592" s="15" t="s">
        <v>86</v>
      </c>
      <c r="K592" s="22">
        <v>0.0</v>
      </c>
    </row>
    <row r="593">
      <c r="B593" s="37"/>
      <c r="C593" s="38"/>
      <c r="D593" s="38"/>
      <c r="I593" s="15" t="s">
        <v>86</v>
      </c>
      <c r="J593" s="15" t="s">
        <v>86</v>
      </c>
      <c r="K593" s="22">
        <v>0.0</v>
      </c>
    </row>
    <row r="594">
      <c r="B594" s="37"/>
      <c r="C594" s="38"/>
      <c r="D594" s="38"/>
      <c r="I594" s="15" t="s">
        <v>86</v>
      </c>
      <c r="J594" s="15" t="s">
        <v>86</v>
      </c>
      <c r="K594" s="22">
        <v>0.0</v>
      </c>
    </row>
    <row r="595">
      <c r="B595" s="37"/>
      <c r="C595" s="38"/>
      <c r="D595" s="38"/>
      <c r="I595" s="15" t="s">
        <v>86</v>
      </c>
      <c r="J595" s="15" t="s">
        <v>86</v>
      </c>
      <c r="K595" s="22">
        <v>0.0</v>
      </c>
    </row>
    <row r="596">
      <c r="B596" s="37"/>
      <c r="C596" s="38"/>
      <c r="D596" s="38"/>
      <c r="I596" s="15" t="s">
        <v>86</v>
      </c>
      <c r="J596" s="15" t="s">
        <v>86</v>
      </c>
      <c r="K596" s="22">
        <v>0.0</v>
      </c>
    </row>
    <row r="597">
      <c r="B597" s="37"/>
      <c r="C597" s="38"/>
      <c r="D597" s="38"/>
      <c r="I597" s="15" t="s">
        <v>86</v>
      </c>
      <c r="J597" s="15" t="s">
        <v>86</v>
      </c>
      <c r="K597" s="22">
        <v>0.0</v>
      </c>
    </row>
    <row r="598">
      <c r="B598" s="37"/>
      <c r="C598" s="38"/>
      <c r="D598" s="38"/>
      <c r="I598" s="15" t="s">
        <v>86</v>
      </c>
      <c r="J598" s="15" t="s">
        <v>86</v>
      </c>
      <c r="K598" s="22">
        <v>0.0</v>
      </c>
    </row>
    <row r="599">
      <c r="B599" s="37"/>
      <c r="C599" s="38"/>
      <c r="D599" s="38"/>
      <c r="I599" s="15" t="s">
        <v>86</v>
      </c>
      <c r="J599" s="15" t="s">
        <v>86</v>
      </c>
      <c r="K599" s="22">
        <v>0.0</v>
      </c>
    </row>
    <row r="600">
      <c r="B600" s="37"/>
      <c r="C600" s="38"/>
      <c r="D600" s="38"/>
      <c r="I600" s="15" t="s">
        <v>86</v>
      </c>
      <c r="J600" s="15" t="s">
        <v>86</v>
      </c>
      <c r="K600" s="22">
        <v>0.0</v>
      </c>
    </row>
    <row r="601">
      <c r="B601" s="37"/>
      <c r="C601" s="38"/>
      <c r="D601" s="38"/>
      <c r="I601" s="15" t="s">
        <v>86</v>
      </c>
      <c r="J601" s="15" t="s">
        <v>86</v>
      </c>
      <c r="K601" s="22">
        <v>0.0</v>
      </c>
    </row>
    <row r="602">
      <c r="B602" s="37"/>
      <c r="C602" s="38"/>
      <c r="D602" s="38"/>
      <c r="I602" s="15" t="s">
        <v>86</v>
      </c>
      <c r="J602" s="15" t="s">
        <v>86</v>
      </c>
      <c r="K602" s="22">
        <v>0.0</v>
      </c>
    </row>
  </sheetData>
  <autoFilter ref="$A$1:$K$6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38"/>
  </cols>
  <sheetData>
    <row r="1">
      <c r="A1" s="31" t="s">
        <v>3</v>
      </c>
      <c r="B1" s="1" t="s">
        <v>146</v>
      </c>
      <c r="C1" s="32" t="s">
        <v>149</v>
      </c>
      <c r="D1" s="33" t="s">
        <v>32</v>
      </c>
      <c r="E1" s="1" t="s">
        <v>21</v>
      </c>
    </row>
    <row r="2">
      <c r="A2" s="34">
        <v>46244.0</v>
      </c>
      <c r="B2" s="15" t="str">
        <f>IFERROR(__xludf.DUMMYFUNCTION("iferror(query(Calendar!B:K,""SELECT Col9,Col2,Col10,Col6 WHERE Col1=Date '""&amp;text(A2,""YYYY-MM-DD"")&amp;""' AND Col7 IS NOT NULL ORDER BY Col2 ASC"",0),"""")"),"")</f>
        <v/>
      </c>
      <c r="C2" s="35"/>
      <c r="D2" s="22"/>
      <c r="E2" s="36"/>
    </row>
    <row r="3">
      <c r="A3" s="34">
        <f t="shared" ref="A3:A21" si="1">A2</f>
        <v>46244</v>
      </c>
      <c r="C3" s="35"/>
      <c r="D3" s="22"/>
    </row>
    <row r="4">
      <c r="A4" s="34">
        <f t="shared" si="1"/>
        <v>46244</v>
      </c>
      <c r="C4" s="35"/>
      <c r="D4" s="22"/>
    </row>
    <row r="5">
      <c r="A5" s="34">
        <f t="shared" si="1"/>
        <v>46244</v>
      </c>
      <c r="C5" s="35"/>
      <c r="D5" s="22"/>
    </row>
    <row r="6">
      <c r="A6" s="34">
        <f t="shared" si="1"/>
        <v>46244</v>
      </c>
      <c r="C6" s="35"/>
      <c r="D6" s="22"/>
    </row>
    <row r="7">
      <c r="A7" s="34">
        <f t="shared" si="1"/>
        <v>46244</v>
      </c>
      <c r="C7" s="35"/>
      <c r="D7" s="22"/>
    </row>
    <row r="8">
      <c r="A8" s="34">
        <f t="shared" si="1"/>
        <v>46244</v>
      </c>
      <c r="C8" s="35"/>
      <c r="D8" s="22"/>
    </row>
    <row r="9">
      <c r="A9" s="34">
        <f t="shared" si="1"/>
        <v>46244</v>
      </c>
      <c r="C9" s="35"/>
      <c r="D9" s="22"/>
    </row>
    <row r="10">
      <c r="A10" s="34">
        <f t="shared" si="1"/>
        <v>46244</v>
      </c>
      <c r="C10" s="35"/>
      <c r="D10" s="22"/>
    </row>
    <row r="11">
      <c r="A11" s="34">
        <f t="shared" si="1"/>
        <v>46244</v>
      </c>
      <c r="C11" s="35"/>
      <c r="D11" s="22"/>
    </row>
    <row r="12">
      <c r="A12" s="34">
        <f t="shared" si="1"/>
        <v>46244</v>
      </c>
      <c r="C12" s="35"/>
      <c r="D12" s="22"/>
      <c r="E12" s="36"/>
    </row>
    <row r="13">
      <c r="A13" s="34">
        <f t="shared" si="1"/>
        <v>46244</v>
      </c>
      <c r="C13" s="35"/>
      <c r="D13" s="22"/>
      <c r="E13" s="36"/>
    </row>
    <row r="14">
      <c r="A14" s="34">
        <f t="shared" si="1"/>
        <v>46244</v>
      </c>
      <c r="C14" s="35"/>
      <c r="D14" s="22"/>
      <c r="E14" s="36"/>
    </row>
    <row r="15">
      <c r="A15" s="34">
        <f t="shared" si="1"/>
        <v>46244</v>
      </c>
      <c r="C15" s="35"/>
      <c r="D15" s="22"/>
      <c r="E15" s="36"/>
    </row>
    <row r="16">
      <c r="A16" s="34">
        <f t="shared" si="1"/>
        <v>46244</v>
      </c>
      <c r="C16" s="35"/>
      <c r="D16" s="22"/>
      <c r="E16" s="36"/>
    </row>
    <row r="17">
      <c r="A17" s="34">
        <f t="shared" si="1"/>
        <v>46244</v>
      </c>
      <c r="B17" s="4"/>
      <c r="C17" s="35"/>
      <c r="D17" s="22"/>
      <c r="E17" s="36"/>
    </row>
    <row r="18">
      <c r="A18" s="34">
        <f t="shared" si="1"/>
        <v>46244</v>
      </c>
      <c r="B18" s="4"/>
      <c r="C18" s="35"/>
      <c r="D18" s="22"/>
      <c r="E18" s="36"/>
    </row>
    <row r="19">
      <c r="A19" s="34">
        <f t="shared" si="1"/>
        <v>46244</v>
      </c>
      <c r="C19" s="35"/>
      <c r="D19" s="22"/>
      <c r="E19" s="36"/>
    </row>
    <row r="20">
      <c r="A20" s="34">
        <f t="shared" si="1"/>
        <v>46244</v>
      </c>
      <c r="B20" s="6"/>
      <c r="C20" s="35"/>
      <c r="D20" s="22"/>
      <c r="E20" s="36"/>
    </row>
    <row r="21">
      <c r="A21" s="34">
        <f t="shared" si="1"/>
        <v>46244</v>
      </c>
      <c r="B21" s="6"/>
      <c r="C21" s="35"/>
      <c r="D21" s="22"/>
      <c r="E21" s="36"/>
    </row>
    <row r="22">
      <c r="A22" s="34"/>
      <c r="B22" s="6"/>
      <c r="C22" s="35"/>
      <c r="D22" s="22"/>
      <c r="E22" s="36">
        <f>sum(D2:D21)</f>
        <v>0</v>
      </c>
    </row>
    <row r="23">
      <c r="A23" s="34">
        <f>A2+1</f>
        <v>46245</v>
      </c>
      <c r="B23" s="4" t="str">
        <f>IFERROR(__xludf.DUMMYFUNCTION("iferror(query(Calendar!B:K,""SELECT Col9,Col2,Col10,Col6 WHERE Col1=Date '""&amp;text(A23,""YYYY-MM-DD"")&amp;""' AND Col7 IS NOT NULL ORDER BY Col2 ASC"",0),"""")"),"")</f>
        <v/>
      </c>
      <c r="C23" s="35"/>
      <c r="D23" s="22"/>
      <c r="E23" s="36"/>
    </row>
    <row r="24">
      <c r="A24" s="34">
        <f t="shared" ref="A24:A42" si="2">A23</f>
        <v>46245</v>
      </c>
      <c r="C24" s="35"/>
      <c r="D24" s="22"/>
      <c r="E24" s="36"/>
    </row>
    <row r="25">
      <c r="A25" s="34">
        <f t="shared" si="2"/>
        <v>46245</v>
      </c>
      <c r="C25" s="35"/>
      <c r="D25" s="22"/>
      <c r="E25" s="36"/>
    </row>
    <row r="26">
      <c r="A26" s="34">
        <f t="shared" si="2"/>
        <v>46245</v>
      </c>
      <c r="C26" s="35"/>
      <c r="D26" s="22"/>
    </row>
    <row r="27">
      <c r="A27" s="34">
        <f t="shared" si="2"/>
        <v>46245</v>
      </c>
      <c r="C27" s="35"/>
      <c r="D27" s="22"/>
    </row>
    <row r="28">
      <c r="A28" s="34">
        <f t="shared" si="2"/>
        <v>46245</v>
      </c>
      <c r="C28" s="35"/>
      <c r="D28" s="22"/>
    </row>
    <row r="29">
      <c r="A29" s="34">
        <f t="shared" si="2"/>
        <v>46245</v>
      </c>
      <c r="C29" s="35"/>
      <c r="D29" s="22"/>
    </row>
    <row r="30">
      <c r="A30" s="34">
        <f t="shared" si="2"/>
        <v>46245</v>
      </c>
      <c r="C30" s="35"/>
      <c r="D30" s="22"/>
    </row>
    <row r="31">
      <c r="A31" s="34">
        <f t="shared" si="2"/>
        <v>46245</v>
      </c>
      <c r="C31" s="35"/>
      <c r="D31" s="22"/>
    </row>
    <row r="32">
      <c r="A32" s="34">
        <f t="shared" si="2"/>
        <v>46245</v>
      </c>
      <c r="C32" s="35"/>
      <c r="D32" s="22"/>
    </row>
    <row r="33">
      <c r="A33" s="34">
        <f t="shared" si="2"/>
        <v>46245</v>
      </c>
      <c r="C33" s="35"/>
      <c r="D33" s="22"/>
    </row>
    <row r="34">
      <c r="A34" s="34">
        <f t="shared" si="2"/>
        <v>46245</v>
      </c>
      <c r="C34" s="35"/>
      <c r="D34" s="22"/>
      <c r="E34" s="36"/>
    </row>
    <row r="35">
      <c r="A35" s="34">
        <f t="shared" si="2"/>
        <v>46245</v>
      </c>
      <c r="C35" s="35"/>
      <c r="D35" s="22"/>
      <c r="E35" s="36"/>
    </row>
    <row r="36">
      <c r="A36" s="34">
        <f t="shared" si="2"/>
        <v>46245</v>
      </c>
      <c r="C36" s="35"/>
      <c r="D36" s="22"/>
      <c r="E36" s="36"/>
    </row>
    <row r="37">
      <c r="A37" s="34">
        <f t="shared" si="2"/>
        <v>46245</v>
      </c>
      <c r="B37" s="4"/>
      <c r="C37" s="35"/>
      <c r="D37" s="22"/>
      <c r="E37" s="36"/>
    </row>
    <row r="38">
      <c r="A38" s="34">
        <f t="shared" si="2"/>
        <v>46245</v>
      </c>
      <c r="B38" s="4"/>
      <c r="C38" s="35"/>
      <c r="D38" s="22"/>
      <c r="E38" s="36"/>
    </row>
    <row r="39">
      <c r="A39" s="34">
        <f t="shared" si="2"/>
        <v>46245</v>
      </c>
      <c r="B39" s="6"/>
      <c r="C39" s="35"/>
      <c r="D39" s="22"/>
      <c r="E39" s="36"/>
    </row>
    <row r="40">
      <c r="A40" s="34">
        <f t="shared" si="2"/>
        <v>46245</v>
      </c>
      <c r="B40" s="6"/>
      <c r="C40" s="35"/>
      <c r="D40" s="22"/>
      <c r="E40" s="36"/>
    </row>
    <row r="41">
      <c r="A41" s="34">
        <f t="shared" si="2"/>
        <v>46245</v>
      </c>
      <c r="B41" s="6"/>
      <c r="C41" s="35"/>
      <c r="D41" s="22"/>
      <c r="E41" s="36"/>
    </row>
    <row r="42">
      <c r="A42" s="34">
        <f t="shared" si="2"/>
        <v>46245</v>
      </c>
      <c r="B42" s="6"/>
      <c r="C42" s="35"/>
      <c r="D42" s="22"/>
      <c r="E42" s="36"/>
    </row>
    <row r="43">
      <c r="A43" s="34"/>
      <c r="B43" s="6"/>
      <c r="C43" s="35"/>
      <c r="D43" s="22"/>
      <c r="E43" s="36">
        <f>sum(D23:D42)</f>
        <v>0</v>
      </c>
    </row>
    <row r="44">
      <c r="A44" s="34">
        <f>A23+1</f>
        <v>46246</v>
      </c>
      <c r="B44" s="15" t="str">
        <f>IFERROR(__xludf.DUMMYFUNCTION("iferror(query(Calendar!B:K,""SELECT Col9,Col2,Col10,Col6 WHERE Col1=Date '""&amp;text(A44,""YYYY-MM-DD"")&amp;""' AND Col7 IS NOT NULL ORDER BY Col2 ASC"",0),"""")"),"")</f>
        <v/>
      </c>
      <c r="C44" s="35"/>
      <c r="D44" s="22"/>
      <c r="E44" s="36"/>
    </row>
    <row r="45">
      <c r="A45" s="34">
        <f t="shared" ref="A45:A63" si="3">A44</f>
        <v>46246</v>
      </c>
      <c r="C45" s="35"/>
      <c r="D45" s="22"/>
      <c r="E45" s="36"/>
    </row>
    <row r="46">
      <c r="A46" s="34">
        <f t="shared" si="3"/>
        <v>46246</v>
      </c>
      <c r="C46" s="35"/>
      <c r="D46" s="22"/>
    </row>
    <row r="47">
      <c r="A47" s="34">
        <f t="shared" si="3"/>
        <v>46246</v>
      </c>
      <c r="C47" s="35"/>
      <c r="D47" s="22"/>
    </row>
    <row r="48">
      <c r="A48" s="34">
        <f t="shared" si="3"/>
        <v>46246</v>
      </c>
      <c r="C48" s="35"/>
      <c r="D48" s="22"/>
    </row>
    <row r="49">
      <c r="A49" s="34">
        <f t="shared" si="3"/>
        <v>46246</v>
      </c>
      <c r="C49" s="35"/>
      <c r="D49" s="22"/>
    </row>
    <row r="50">
      <c r="A50" s="34">
        <f t="shared" si="3"/>
        <v>46246</v>
      </c>
      <c r="C50" s="35"/>
      <c r="D50" s="22"/>
    </row>
    <row r="51">
      <c r="A51" s="34">
        <f t="shared" si="3"/>
        <v>46246</v>
      </c>
      <c r="C51" s="35"/>
      <c r="D51" s="41"/>
    </row>
    <row r="52">
      <c r="A52" s="34">
        <f t="shared" si="3"/>
        <v>46246</v>
      </c>
      <c r="C52" s="35"/>
      <c r="D52" s="22"/>
    </row>
    <row r="53">
      <c r="A53" s="34">
        <f t="shared" si="3"/>
        <v>46246</v>
      </c>
      <c r="C53" s="35"/>
      <c r="D53" s="41"/>
    </row>
    <row r="54">
      <c r="A54" s="34">
        <f t="shared" si="3"/>
        <v>46246</v>
      </c>
      <c r="C54" s="35"/>
      <c r="D54" s="22"/>
    </row>
    <row r="55">
      <c r="A55" s="34">
        <f t="shared" si="3"/>
        <v>46246</v>
      </c>
      <c r="C55" s="35"/>
      <c r="D55" s="22"/>
      <c r="E55" s="36"/>
    </row>
    <row r="56">
      <c r="A56" s="34">
        <f t="shared" si="3"/>
        <v>46246</v>
      </c>
      <c r="C56" s="35"/>
      <c r="D56" s="22"/>
      <c r="E56" s="36"/>
    </row>
    <row r="57">
      <c r="A57" s="34">
        <f t="shared" si="3"/>
        <v>46246</v>
      </c>
      <c r="C57" s="35"/>
      <c r="D57" s="22"/>
      <c r="E57" s="36"/>
    </row>
    <row r="58">
      <c r="A58" s="34">
        <f t="shared" si="3"/>
        <v>46246</v>
      </c>
      <c r="C58" s="35"/>
      <c r="D58" s="22"/>
      <c r="E58" s="36"/>
    </row>
    <row r="59">
      <c r="A59" s="34">
        <f t="shared" si="3"/>
        <v>46246</v>
      </c>
      <c r="C59" s="35"/>
      <c r="D59" s="22"/>
      <c r="E59" s="36"/>
    </row>
    <row r="60">
      <c r="A60" s="34">
        <f t="shared" si="3"/>
        <v>46246</v>
      </c>
      <c r="C60" s="35"/>
      <c r="D60" s="22"/>
      <c r="E60" s="36"/>
    </row>
    <row r="61">
      <c r="A61" s="34">
        <f t="shared" si="3"/>
        <v>46246</v>
      </c>
      <c r="B61" s="6"/>
      <c r="C61" s="35"/>
      <c r="D61" s="22"/>
      <c r="E61" s="36"/>
    </row>
    <row r="62">
      <c r="A62" s="34">
        <f t="shared" si="3"/>
        <v>46246</v>
      </c>
      <c r="B62" s="6"/>
      <c r="C62" s="35"/>
      <c r="D62" s="22"/>
      <c r="E62" s="36"/>
    </row>
    <row r="63">
      <c r="A63" s="34">
        <f t="shared" si="3"/>
        <v>46246</v>
      </c>
      <c r="B63" s="6"/>
      <c r="C63" s="35"/>
      <c r="D63" s="22"/>
      <c r="E63" s="36"/>
    </row>
    <row r="64">
      <c r="A64" s="42"/>
      <c r="B64" s="6"/>
      <c r="C64" s="35"/>
      <c r="D64" s="22"/>
      <c r="E64" s="36">
        <f>sum(D44:D63)</f>
        <v>0</v>
      </c>
    </row>
    <row r="65">
      <c r="A65" s="34">
        <f>A44+1</f>
        <v>46247</v>
      </c>
      <c r="B65" s="15" t="str">
        <f>IFERROR(__xludf.DUMMYFUNCTION("iferror(query(Calendar!B:K,""SELECT Col9,Col2,Col10,Col6 WHERE Col1=Date '""&amp;text(A65,""YYYY-MM-DD"")&amp;""' AND Col7 IS NOT NULL ORDER BY Col2 ASC"",0),"""")"),"")</f>
        <v/>
      </c>
      <c r="C65" s="35"/>
      <c r="D65" s="22"/>
      <c r="E65" s="36"/>
    </row>
    <row r="66">
      <c r="A66" s="34">
        <f t="shared" ref="A66:A84" si="4">A65</f>
        <v>46247</v>
      </c>
      <c r="C66" s="35"/>
      <c r="D66" s="22"/>
      <c r="E66" s="36"/>
    </row>
    <row r="67">
      <c r="A67" s="34">
        <f t="shared" si="4"/>
        <v>46247</v>
      </c>
      <c r="C67" s="35"/>
      <c r="D67" s="22"/>
      <c r="E67" s="36"/>
    </row>
    <row r="68">
      <c r="A68" s="34">
        <f t="shared" si="4"/>
        <v>46247</v>
      </c>
      <c r="C68" s="35"/>
      <c r="D68" s="22"/>
      <c r="E68" s="36"/>
    </row>
    <row r="69">
      <c r="A69" s="34">
        <f t="shared" si="4"/>
        <v>46247</v>
      </c>
      <c r="C69" s="35"/>
      <c r="D69" s="22"/>
      <c r="E69" s="36"/>
    </row>
    <row r="70">
      <c r="A70" s="34">
        <f t="shared" si="4"/>
        <v>46247</v>
      </c>
      <c r="C70" s="35"/>
      <c r="D70" s="22"/>
    </row>
    <row r="71">
      <c r="A71" s="34">
        <f t="shared" si="4"/>
        <v>46247</v>
      </c>
      <c r="C71" s="35"/>
      <c r="D71" s="22"/>
    </row>
    <row r="72">
      <c r="A72" s="34">
        <f t="shared" si="4"/>
        <v>46247</v>
      </c>
      <c r="C72" s="35"/>
      <c r="D72" s="22"/>
    </row>
    <row r="73">
      <c r="A73" s="34">
        <f t="shared" si="4"/>
        <v>46247</v>
      </c>
      <c r="C73" s="35"/>
      <c r="D73" s="22"/>
    </row>
    <row r="74">
      <c r="A74" s="34">
        <f t="shared" si="4"/>
        <v>46247</v>
      </c>
      <c r="C74" s="35"/>
      <c r="D74" s="22"/>
    </row>
    <row r="75">
      <c r="A75" s="34">
        <f t="shared" si="4"/>
        <v>46247</v>
      </c>
      <c r="C75" s="35"/>
      <c r="D75" s="22"/>
    </row>
    <row r="76">
      <c r="A76" s="34">
        <f t="shared" si="4"/>
        <v>46247</v>
      </c>
      <c r="C76" s="35"/>
      <c r="D76" s="22"/>
      <c r="E76" s="36"/>
    </row>
    <row r="77">
      <c r="A77" s="34">
        <f t="shared" si="4"/>
        <v>46247</v>
      </c>
      <c r="C77" s="35"/>
      <c r="D77" s="22"/>
      <c r="E77" s="36"/>
    </row>
    <row r="78">
      <c r="A78" s="34">
        <f t="shared" si="4"/>
        <v>46247</v>
      </c>
      <c r="C78" s="35"/>
      <c r="D78" s="22"/>
      <c r="E78" s="36"/>
    </row>
    <row r="79">
      <c r="A79" s="34">
        <f t="shared" si="4"/>
        <v>46247</v>
      </c>
      <c r="C79" s="35"/>
      <c r="D79" s="22"/>
      <c r="E79" s="36"/>
    </row>
    <row r="80">
      <c r="A80" s="34">
        <f t="shared" si="4"/>
        <v>46247</v>
      </c>
      <c r="C80" s="35"/>
      <c r="D80" s="22"/>
      <c r="E80" s="36"/>
    </row>
    <row r="81">
      <c r="A81" s="34">
        <f t="shared" si="4"/>
        <v>46247</v>
      </c>
      <c r="C81" s="35"/>
      <c r="D81" s="22"/>
      <c r="E81" s="36"/>
    </row>
    <row r="82">
      <c r="A82" s="34">
        <f t="shared" si="4"/>
        <v>46247</v>
      </c>
      <c r="B82" s="4"/>
      <c r="C82" s="35"/>
      <c r="D82" s="22"/>
      <c r="E82" s="36"/>
    </row>
    <row r="83">
      <c r="A83" s="34">
        <f t="shared" si="4"/>
        <v>46247</v>
      </c>
      <c r="B83" s="6"/>
      <c r="C83" s="35"/>
      <c r="D83" s="22"/>
      <c r="E83" s="36"/>
    </row>
    <row r="84">
      <c r="A84" s="34">
        <f t="shared" si="4"/>
        <v>46247</v>
      </c>
      <c r="B84" s="6"/>
      <c r="C84" s="35"/>
      <c r="D84" s="22"/>
      <c r="E84" s="36"/>
    </row>
    <row r="85">
      <c r="A85" s="42"/>
      <c r="B85" s="6"/>
      <c r="C85" s="35"/>
      <c r="D85" s="22"/>
      <c r="E85" s="36">
        <f>sum(D65:D84)</f>
        <v>0</v>
      </c>
    </row>
    <row r="86">
      <c r="A86" s="34">
        <f>A65+1</f>
        <v>46248</v>
      </c>
      <c r="B86" s="15" t="str">
        <f>IFERROR(__xludf.DUMMYFUNCTION("iferror(query(Calendar!B:K,""SELECT Col9,Col2,Col10,Col6 WHERE Col1=Date '""&amp;text(A86,""YYYY-MM-DD"")&amp;""' AND Col7 IS NOT NULL ORDER BY Col2 ASC"",0),"""")"),"")</f>
        <v/>
      </c>
      <c r="C86" s="35"/>
      <c r="D86" s="22"/>
      <c r="E86" s="36"/>
    </row>
    <row r="87">
      <c r="A87" s="34">
        <f t="shared" ref="A87:A105" si="5">A86</f>
        <v>46248</v>
      </c>
      <c r="C87" s="35"/>
      <c r="D87" s="22"/>
    </row>
    <row r="88">
      <c r="A88" s="34">
        <f t="shared" si="5"/>
        <v>46248</v>
      </c>
      <c r="C88" s="35"/>
      <c r="D88" s="22"/>
    </row>
    <row r="89">
      <c r="A89" s="34">
        <f t="shared" si="5"/>
        <v>46248</v>
      </c>
      <c r="C89" s="35"/>
      <c r="D89" s="22"/>
    </row>
    <row r="90">
      <c r="A90" s="34">
        <f t="shared" si="5"/>
        <v>46248</v>
      </c>
      <c r="C90" s="35"/>
      <c r="D90" s="22"/>
    </row>
    <row r="91">
      <c r="A91" s="34">
        <f t="shared" si="5"/>
        <v>46248</v>
      </c>
      <c r="C91" s="35"/>
      <c r="D91" s="22"/>
    </row>
    <row r="92">
      <c r="A92" s="34">
        <f t="shared" si="5"/>
        <v>46248</v>
      </c>
      <c r="C92" s="35"/>
      <c r="D92" s="22"/>
    </row>
    <row r="93">
      <c r="A93" s="34">
        <f t="shared" si="5"/>
        <v>46248</v>
      </c>
      <c r="C93" s="35"/>
      <c r="D93" s="22"/>
    </row>
    <row r="94">
      <c r="A94" s="34">
        <f t="shared" si="5"/>
        <v>46248</v>
      </c>
      <c r="C94" s="35"/>
      <c r="D94" s="22"/>
    </row>
    <row r="95">
      <c r="A95" s="34">
        <f t="shared" si="5"/>
        <v>46248</v>
      </c>
      <c r="C95" s="35"/>
      <c r="D95" s="22"/>
    </row>
    <row r="96">
      <c r="A96" s="34">
        <f t="shared" si="5"/>
        <v>46248</v>
      </c>
      <c r="C96" s="35"/>
      <c r="D96" s="22"/>
      <c r="E96" s="36"/>
    </row>
    <row r="97">
      <c r="A97" s="34">
        <f t="shared" si="5"/>
        <v>46248</v>
      </c>
      <c r="C97" s="35"/>
      <c r="D97" s="22"/>
      <c r="E97" s="36"/>
    </row>
    <row r="98">
      <c r="A98" s="34">
        <f t="shared" si="5"/>
        <v>46248</v>
      </c>
      <c r="C98" s="35"/>
      <c r="D98" s="22"/>
      <c r="E98" s="36"/>
    </row>
    <row r="99">
      <c r="A99" s="34">
        <f t="shared" si="5"/>
        <v>46248</v>
      </c>
      <c r="C99" s="35"/>
      <c r="D99" s="22"/>
      <c r="E99" s="36"/>
    </row>
    <row r="100">
      <c r="A100" s="34">
        <f t="shared" si="5"/>
        <v>46248</v>
      </c>
      <c r="C100" s="35"/>
      <c r="D100" s="22"/>
      <c r="E100" s="36"/>
    </row>
    <row r="101">
      <c r="A101" s="34">
        <f t="shared" si="5"/>
        <v>46248</v>
      </c>
      <c r="B101" s="6"/>
      <c r="C101" s="35"/>
      <c r="D101" s="22"/>
      <c r="E101" s="36"/>
    </row>
    <row r="102">
      <c r="A102" s="34">
        <f t="shared" si="5"/>
        <v>46248</v>
      </c>
      <c r="B102" s="6"/>
      <c r="C102" s="35"/>
      <c r="D102" s="22"/>
      <c r="E102" s="36"/>
    </row>
    <row r="103">
      <c r="A103" s="34">
        <f t="shared" si="5"/>
        <v>46248</v>
      </c>
      <c r="B103" s="6"/>
      <c r="C103" s="35"/>
      <c r="D103" s="22"/>
      <c r="E103" s="36"/>
    </row>
    <row r="104">
      <c r="A104" s="34">
        <f t="shared" si="5"/>
        <v>46248</v>
      </c>
      <c r="B104" s="6"/>
      <c r="C104" s="35"/>
      <c r="D104" s="22"/>
      <c r="E104" s="36"/>
    </row>
    <row r="105">
      <c r="A105" s="34">
        <f t="shared" si="5"/>
        <v>46248</v>
      </c>
      <c r="B105" s="6"/>
      <c r="C105" s="35"/>
      <c r="D105" s="22"/>
      <c r="E105" s="36"/>
    </row>
    <row r="106">
      <c r="A106" s="42"/>
      <c r="B106" s="6"/>
      <c r="C106" s="35"/>
      <c r="D106" s="22"/>
      <c r="E106" s="36">
        <f>sum(D86:D105)</f>
        <v>0</v>
      </c>
    </row>
    <row r="107">
      <c r="A107" s="42"/>
      <c r="B107" s="6"/>
      <c r="C107" s="35"/>
      <c r="D107" s="22"/>
    </row>
    <row r="108">
      <c r="A108" s="42"/>
      <c r="B108" s="6"/>
      <c r="C108" s="35"/>
      <c r="D108" s="22"/>
    </row>
    <row r="109">
      <c r="A109" s="42"/>
      <c r="B109" s="6"/>
      <c r="C109" s="35"/>
      <c r="D109" s="22"/>
    </row>
    <row r="110">
      <c r="A110" s="42"/>
      <c r="B110" s="6"/>
      <c r="C110" s="35"/>
      <c r="D110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9" t="s">
        <v>3</v>
      </c>
      <c r="B1" s="1" t="s">
        <v>146</v>
      </c>
      <c r="C1" s="1" t="s">
        <v>32</v>
      </c>
      <c r="D1" s="1" t="s">
        <v>21</v>
      </c>
      <c r="E1" s="1" t="s">
        <v>179</v>
      </c>
      <c r="V1" s="4" t="s">
        <v>181</v>
      </c>
      <c r="AC1" s="4" t="s">
        <v>182</v>
      </c>
      <c r="AI1" s="4"/>
      <c r="AJ1" s="4" t="s">
        <v>184</v>
      </c>
      <c r="AU1" s="39" t="s">
        <v>3</v>
      </c>
      <c r="AV1" s="1"/>
      <c r="AW1" s="1"/>
      <c r="AX1" s="1"/>
      <c r="AY1" s="1"/>
      <c r="BB1" s="15" t="str">
        <f>IFERROR(__xludf.DUMMYFUNCTION("query(query({A1:E1102;AU2:AY1102},""SELECT Col1, SUM(Col5) WHERE Col1 IS NOT NULL GROUP BY Col1 PIVOT Col4 format SUM(Col5) '0.0'"",1),""SELECT Col1,Col3,Col4,Col5,Col6"",1)"),"Date")</f>
        <v>Date</v>
      </c>
      <c r="BC1" s="15" t="str">
        <f>IFERROR(__xludf.DUMMYFUNCTION("""COMPUTED_VALUE"""),"CEOT")</f>
        <v>CEOT</v>
      </c>
      <c r="BD1" s="15" t="str">
        <f>IFERROR(__xludf.DUMMYFUNCTION("""COMPUTED_VALUE"""),"MITA")</f>
        <v>MITA</v>
      </c>
      <c r="BE1" s="15" t="str">
        <f>IFERROR(__xludf.DUMMYFUNCTION("""COMPUTED_VALUE"""),"MP")</f>
        <v>MP</v>
      </c>
      <c r="BF1" s="15" t="str">
        <f>IFERROR(__xludf.DUMMYFUNCTION("""COMPUTED_VALUE"""),"WMEPO")</f>
        <v>WMEPO</v>
      </c>
    </row>
    <row r="2">
      <c r="A2" s="40">
        <v>46027.0</v>
      </c>
      <c r="B2" s="4" t="s">
        <v>192</v>
      </c>
      <c r="C2" s="4" t="s">
        <v>194</v>
      </c>
      <c r="D2" s="15" t="str">
        <f t="array" ref="D2:D1102">iferror(LEFT(B2:B1102,SEARCH("-",B2:B1102)-1),"")</f>
        <v>MP</v>
      </c>
      <c r="E2" s="15">
        <f t="array" ref="E2:E1102">IFERROR(LEFT(C2:C1102,LEN(C2:C1102)-1)/60,"")</f>
        <v>0.5</v>
      </c>
      <c r="I2" s="4" t="s">
        <v>210</v>
      </c>
      <c r="J2" s="4" t="s">
        <v>213</v>
      </c>
      <c r="K2" s="4" t="s">
        <v>214</v>
      </c>
      <c r="L2" s="4" t="s">
        <v>215</v>
      </c>
      <c r="V2" s="15" t="str">
        <f>IFERROR(__xludf.DUMMYFUNCTION("query(query({A1:E1102;AU2:AY1102},""SELECT Col1, SUM(Col5) WHERE Col1 &lt;= Date '""&amp;TEXT(eomonth(today(),0),""yyyy-MM-dd"")&amp;""' GROUP BY Col1 PIVOT Col4 format SUM(Col5) '0.0'"",1),""SELECT Col1,Col3,Col4,Col5,Col6"",1)"),"Date")</f>
        <v>Date</v>
      </c>
      <c r="W2" s="15" t="str">
        <f>IFERROR(__xludf.DUMMYFUNCTION("""COMPUTED_VALUE"""),"CEOT")</f>
        <v>CEOT</v>
      </c>
      <c r="X2" s="15" t="str">
        <f>IFERROR(__xludf.DUMMYFUNCTION("""COMPUTED_VALUE"""),"MITA")</f>
        <v>MITA</v>
      </c>
      <c r="Y2" s="15" t="str">
        <f>IFERROR(__xludf.DUMMYFUNCTION("""COMPUTED_VALUE"""),"MP")</f>
        <v>MP</v>
      </c>
      <c r="Z2" s="15" t="str">
        <f>IFERROR(__xludf.DUMMYFUNCTION("""COMPUTED_VALUE"""),"WMEPO")</f>
        <v>WMEPO</v>
      </c>
      <c r="AC2" s="15" t="str">
        <f>IFERROR(__xludf.DUMMYFUNCTION("query(A:E,""SELECT Col1, SUM(Col5) WHERE Col1 &gt;= Date '""&amp;TEXT(date(year(today()),month(today())-1,1),""yyyy-MM-dd"")&amp;""' GROUP BY Col1 PIVOT Col4 format SUM(Col5) '0.0'"",1)"),"Date")</f>
        <v>Date</v>
      </c>
      <c r="AD2" s="15" t="str">
        <f>IFERROR(__xludf.DUMMYFUNCTION("""COMPUTED_VALUE"""),"sum Hours")</f>
        <v>sum Hours</v>
      </c>
      <c r="AJ2" s="15" t="str">
        <f>IFERROR(__xludf.DUMMYFUNCTION("query(A:E,""SELECT Col1, SUM(Col5) WHERE Col1 &gt;= Date '""&amp;TEXT(date(year(today()),month(today()),1),""yyyy-MM-dd"")&amp;""' GROUP BY Col1 PIVOT Col4 format SUM(Col5) '0.0'"",1)"),"Date")</f>
        <v>Date</v>
      </c>
      <c r="AK2" s="15" t="str">
        <f>IFERROR(__xludf.DUMMYFUNCTION("""COMPUTED_VALUE"""),"sum Hours")</f>
        <v>sum Hours</v>
      </c>
      <c r="AU2" s="43">
        <f t="array" ref="AU2:AU366">SEQUENCE(365, 1, DATE(YEAR(TODAY()),1,1), 1)
</f>
        <v>46023</v>
      </c>
      <c r="AX2" s="15" t="str">
        <f t="array" ref="AX2:AX1102">if(NOT(ISBLANK(AU2:AU1102)),"","")</f>
        <v/>
      </c>
      <c r="BB2" s="43">
        <f>IFERROR(__xludf.DUMMYFUNCTION("""COMPUTED_VALUE"""),46023.0)</f>
        <v>46023</v>
      </c>
      <c r="BC2" s="44"/>
      <c r="BD2" s="44"/>
      <c r="BE2" s="44"/>
      <c r="BF2" s="44"/>
    </row>
    <row r="3">
      <c r="A3" s="40">
        <v>46027.0</v>
      </c>
      <c r="B3" s="4" t="s">
        <v>208</v>
      </c>
      <c r="C3" s="4" t="s">
        <v>194</v>
      </c>
      <c r="D3" s="15" t="s">
        <v>53</v>
      </c>
      <c r="E3" s="15">
        <v>0.5</v>
      </c>
      <c r="I3" s="45">
        <f>TODAY() - WEEKDAY(TODAY(), 2) + 1 - 21</f>
        <v>46223</v>
      </c>
      <c r="J3" s="45">
        <f t="shared" ref="J3:K3" si="1">I3+7</f>
        <v>46230</v>
      </c>
      <c r="K3" s="45">
        <f t="shared" si="1"/>
        <v>46237</v>
      </c>
      <c r="L3" s="45">
        <f>TODAY() - WEEKDAY(TODAY(), 2) + 1</f>
        <v>46244</v>
      </c>
      <c r="V3" s="43"/>
      <c r="W3" s="44"/>
      <c r="X3" s="44"/>
      <c r="Y3" s="44"/>
      <c r="Z3" s="44"/>
      <c r="AU3" s="43">
        <v>46024.0</v>
      </c>
      <c r="AX3" s="15" t="s">
        <v>86</v>
      </c>
      <c r="BB3" s="43">
        <f>IFERROR(__xludf.DUMMYFUNCTION("""COMPUTED_VALUE"""),46024.0)</f>
        <v>46024</v>
      </c>
      <c r="BC3" s="44"/>
      <c r="BD3" s="44"/>
      <c r="BE3" s="44"/>
      <c r="BF3" s="44"/>
    </row>
    <row r="4">
      <c r="A4" s="40">
        <v>46027.0</v>
      </c>
      <c r="B4" s="4" t="s">
        <v>251</v>
      </c>
      <c r="C4" s="4" t="s">
        <v>194</v>
      </c>
      <c r="D4" s="15" t="s">
        <v>53</v>
      </c>
      <c r="E4" s="15">
        <v>0.5</v>
      </c>
      <c r="H4" s="4" t="s">
        <v>253</v>
      </c>
      <c r="I4" s="15">
        <f t="shared" ref="I4:K4" si="2">sumifs($E:$E,$A:$A,"&gt;="&amp;I$3,$A:$A,"&lt;"&amp;J$3)</f>
        <v>0</v>
      </c>
      <c r="J4" s="15">
        <f t="shared" si="2"/>
        <v>0</v>
      </c>
      <c r="K4" s="15">
        <f t="shared" si="2"/>
        <v>0</v>
      </c>
      <c r="V4" s="43">
        <f>IFERROR(__xludf.DUMMYFUNCTION("""COMPUTED_VALUE"""),46023.0)</f>
        <v>46023</v>
      </c>
      <c r="W4" s="44"/>
      <c r="X4" s="44"/>
      <c r="Y4" s="44"/>
      <c r="Z4" s="44"/>
      <c r="AU4" s="43">
        <v>46025.0</v>
      </c>
      <c r="AX4" s="15" t="s">
        <v>86</v>
      </c>
      <c r="BB4" s="43">
        <f>IFERROR(__xludf.DUMMYFUNCTION("""COMPUTED_VALUE"""),46025.0)</f>
        <v>46025</v>
      </c>
      <c r="BC4" s="44"/>
      <c r="BD4" s="44"/>
      <c r="BE4" s="44"/>
      <c r="BF4" s="44"/>
    </row>
    <row r="5">
      <c r="A5" s="40">
        <v>46027.0</v>
      </c>
      <c r="B5" s="4" t="s">
        <v>205</v>
      </c>
      <c r="C5" s="4" t="s">
        <v>259</v>
      </c>
      <c r="D5" s="15" t="s">
        <v>53</v>
      </c>
      <c r="E5" s="15">
        <v>1.0</v>
      </c>
      <c r="H5" s="15" t="str">
        <f t="array" ref="H5:H9">UNIQUE(D:D)</f>
        <v>Project</v>
      </c>
      <c r="V5" s="43">
        <f>IFERROR(__xludf.DUMMYFUNCTION("""COMPUTED_VALUE"""),46024.0)</f>
        <v>46024</v>
      </c>
      <c r="W5" s="44"/>
      <c r="X5" s="44"/>
      <c r="Y5" s="44"/>
      <c r="Z5" s="44"/>
      <c r="AU5" s="43">
        <v>46026.0</v>
      </c>
      <c r="AX5" s="15" t="s">
        <v>86</v>
      </c>
      <c r="BB5" s="43">
        <f>IFERROR(__xludf.DUMMYFUNCTION("""COMPUTED_VALUE"""),46026.0)</f>
        <v>46026</v>
      </c>
      <c r="BC5" s="44"/>
      <c r="BD5" s="44"/>
      <c r="BE5" s="44"/>
      <c r="BF5" s="44"/>
    </row>
    <row r="6">
      <c r="A6" s="40">
        <v>46027.0</v>
      </c>
      <c r="B6" s="4" t="s">
        <v>275</v>
      </c>
      <c r="C6" s="4" t="s">
        <v>259</v>
      </c>
      <c r="D6" s="15" t="s">
        <v>53</v>
      </c>
      <c r="E6" s="15">
        <v>1.0</v>
      </c>
      <c r="H6" s="15" t="s">
        <v>93</v>
      </c>
      <c r="I6" s="15">
        <f t="shared" ref="I6:K6" si="3">sumifs($E:$E,$D:$D,$H6,$A:$A,"&gt;="&amp;I$3,$A:$A,"&lt;"&amp;J$3)</f>
        <v>0</v>
      </c>
      <c r="J6" s="15">
        <f t="shared" si="3"/>
        <v>0</v>
      </c>
      <c r="K6" s="15">
        <f t="shared" si="3"/>
        <v>0</v>
      </c>
      <c r="V6" s="43">
        <f>IFERROR(__xludf.DUMMYFUNCTION("""COMPUTED_VALUE"""),46025.0)</f>
        <v>46025</v>
      </c>
      <c r="W6" s="44"/>
      <c r="X6" s="44"/>
      <c r="Y6" s="44"/>
      <c r="Z6" s="44"/>
      <c r="AU6" s="43">
        <v>46027.0</v>
      </c>
      <c r="AX6" s="15" t="s">
        <v>86</v>
      </c>
      <c r="BB6" s="43">
        <f>IFERROR(__xludf.DUMMYFUNCTION("""COMPUTED_VALUE"""),46027.0)</f>
        <v>46027</v>
      </c>
      <c r="BC6" s="44"/>
      <c r="BD6" s="44"/>
      <c r="BE6" s="44">
        <f>IFERROR(__xludf.DUMMYFUNCTION("""COMPUTED_VALUE"""),2.0)</f>
        <v>2</v>
      </c>
      <c r="BF6" s="44">
        <f>IFERROR(__xludf.DUMMYFUNCTION("""COMPUTED_VALUE"""),4.5)</f>
        <v>4.5</v>
      </c>
    </row>
    <row r="7">
      <c r="A7" s="40">
        <v>46027.0</v>
      </c>
      <c r="B7" s="4" t="s">
        <v>180</v>
      </c>
      <c r="C7" s="4" t="s">
        <v>291</v>
      </c>
      <c r="D7" s="15" t="s">
        <v>93</v>
      </c>
      <c r="E7" s="15">
        <v>1.5</v>
      </c>
      <c r="H7" s="15" t="s">
        <v>53</v>
      </c>
      <c r="I7" s="15">
        <f t="shared" ref="I7:K7" si="4">sumifs($E:$E,$D:$D,$H7,$A:$A,"&gt;="&amp;I$3,$A:$A,"&lt;"&amp;J$3)</f>
        <v>0</v>
      </c>
      <c r="J7" s="15">
        <f t="shared" si="4"/>
        <v>0</v>
      </c>
      <c r="K7" s="15">
        <f t="shared" si="4"/>
        <v>0</v>
      </c>
      <c r="V7" s="43">
        <f>IFERROR(__xludf.DUMMYFUNCTION("""COMPUTED_VALUE"""),46026.0)</f>
        <v>46026</v>
      </c>
      <c r="W7" s="44"/>
      <c r="X7" s="44"/>
      <c r="Y7" s="44"/>
      <c r="Z7" s="44"/>
      <c r="AU7" s="43">
        <v>46028.0</v>
      </c>
      <c r="AX7" s="15" t="s">
        <v>86</v>
      </c>
      <c r="BB7" s="43">
        <f>IFERROR(__xludf.DUMMYFUNCTION("""COMPUTED_VALUE"""),46028.0)</f>
        <v>46028</v>
      </c>
      <c r="BC7" s="44"/>
      <c r="BD7" s="44"/>
      <c r="BE7" s="44">
        <f>IFERROR(__xludf.DUMMYFUNCTION("""COMPUTED_VALUE"""),3.5)</f>
        <v>3.5</v>
      </c>
      <c r="BF7" s="44">
        <f>IFERROR(__xludf.DUMMYFUNCTION("""COMPUTED_VALUE"""),6.0)</f>
        <v>6</v>
      </c>
    </row>
    <row r="8">
      <c r="A8" s="40">
        <v>46027.0</v>
      </c>
      <c r="B8" s="4" t="s">
        <v>208</v>
      </c>
      <c r="C8" s="4" t="s">
        <v>194</v>
      </c>
      <c r="D8" s="15" t="s">
        <v>53</v>
      </c>
      <c r="E8" s="15">
        <v>0.5</v>
      </c>
      <c r="H8" s="15" t="s">
        <v>38</v>
      </c>
      <c r="I8" s="15">
        <f t="shared" ref="I8:K8" si="5">sumifs($E:$E,$D:$D,$H8,$A:$A,"&gt;="&amp;I$3,$A:$A,"&lt;"&amp;J$3)</f>
        <v>0</v>
      </c>
      <c r="J8" s="15">
        <f t="shared" si="5"/>
        <v>0</v>
      </c>
      <c r="K8" s="15">
        <f t="shared" si="5"/>
        <v>0</v>
      </c>
      <c r="V8" s="43">
        <f>IFERROR(__xludf.DUMMYFUNCTION("""COMPUTED_VALUE"""),46027.0)</f>
        <v>46027</v>
      </c>
      <c r="W8" s="44"/>
      <c r="X8" s="44"/>
      <c r="Y8" s="44">
        <f>IFERROR(__xludf.DUMMYFUNCTION("""COMPUTED_VALUE"""),2.0)</f>
        <v>2</v>
      </c>
      <c r="Z8" s="44">
        <f>IFERROR(__xludf.DUMMYFUNCTION("""COMPUTED_VALUE"""),4.5)</f>
        <v>4.5</v>
      </c>
      <c r="AU8" s="43">
        <v>46029.0</v>
      </c>
      <c r="AX8" s="15" t="s">
        <v>86</v>
      </c>
      <c r="BB8" s="43">
        <f>IFERROR(__xludf.DUMMYFUNCTION("""COMPUTED_VALUE"""),46029.0)</f>
        <v>46029</v>
      </c>
      <c r="BC8" s="44">
        <f>IFERROR(__xludf.DUMMYFUNCTION("""COMPUTED_VALUE"""),0.5)</f>
        <v>0.5</v>
      </c>
      <c r="BD8" s="44"/>
      <c r="BE8" s="44">
        <f>IFERROR(__xludf.DUMMYFUNCTION("""COMPUTED_VALUE"""),4.0)</f>
        <v>4</v>
      </c>
      <c r="BF8" s="44">
        <f>IFERROR(__xludf.DUMMYFUNCTION("""COMPUTED_VALUE"""),2.5)</f>
        <v>2.5</v>
      </c>
    </row>
    <row r="9">
      <c r="A9" s="40">
        <v>46027.0</v>
      </c>
      <c r="B9" s="4" t="s">
        <v>212</v>
      </c>
      <c r="C9" s="4" t="s">
        <v>259</v>
      </c>
      <c r="D9" s="15" t="s">
        <v>53</v>
      </c>
      <c r="E9" s="15">
        <v>1.0</v>
      </c>
      <c r="H9" s="15" t="s">
        <v>314</v>
      </c>
      <c r="I9" s="15">
        <f t="shared" ref="I9:K9" si="6">sumifs($E:$E,$D:$D,$H9,$A:$A,"&gt;="&amp;I$3,$A:$A,"&lt;"&amp;J$3)</f>
        <v>0</v>
      </c>
      <c r="J9" s="15">
        <f t="shared" si="6"/>
        <v>0</v>
      </c>
      <c r="K9" s="15">
        <f t="shared" si="6"/>
        <v>0</v>
      </c>
      <c r="V9" s="43">
        <f>IFERROR(__xludf.DUMMYFUNCTION("""COMPUTED_VALUE"""),46028.0)</f>
        <v>46028</v>
      </c>
      <c r="W9" s="44"/>
      <c r="X9" s="44"/>
      <c r="Y9" s="44">
        <f>IFERROR(__xludf.DUMMYFUNCTION("""COMPUTED_VALUE"""),3.5)</f>
        <v>3.5</v>
      </c>
      <c r="Z9" s="44">
        <f>IFERROR(__xludf.DUMMYFUNCTION("""COMPUTED_VALUE"""),6.0)</f>
        <v>6</v>
      </c>
      <c r="AU9" s="43">
        <v>46030.0</v>
      </c>
      <c r="AX9" s="15" t="s">
        <v>86</v>
      </c>
      <c r="BB9" s="43">
        <f>IFERROR(__xludf.DUMMYFUNCTION("""COMPUTED_VALUE"""),46030.0)</f>
        <v>46030</v>
      </c>
      <c r="BC9" s="44">
        <f>IFERROR(__xludf.DUMMYFUNCTION("""COMPUTED_VALUE"""),2.0)</f>
        <v>2</v>
      </c>
      <c r="BD9" s="44"/>
      <c r="BE9" s="44">
        <f>IFERROR(__xludf.DUMMYFUNCTION("""COMPUTED_VALUE"""),5.0)</f>
        <v>5</v>
      </c>
      <c r="BF9" s="44">
        <f>IFERROR(__xludf.DUMMYFUNCTION("""COMPUTED_VALUE"""),3.0)</f>
        <v>3</v>
      </c>
    </row>
    <row r="10">
      <c r="A10" s="40">
        <v>46028.0</v>
      </c>
      <c r="B10" s="4" t="s">
        <v>170</v>
      </c>
      <c r="C10" s="4" t="s">
        <v>194</v>
      </c>
      <c r="D10" s="15" t="s">
        <v>93</v>
      </c>
      <c r="E10" s="15">
        <v>0.5</v>
      </c>
      <c r="V10" s="43">
        <f>IFERROR(__xludf.DUMMYFUNCTION("""COMPUTED_VALUE"""),46029.0)</f>
        <v>46029</v>
      </c>
      <c r="W10" s="44">
        <f>IFERROR(__xludf.DUMMYFUNCTION("""COMPUTED_VALUE"""),0.5)</f>
        <v>0.5</v>
      </c>
      <c r="X10" s="44"/>
      <c r="Y10" s="44">
        <f>IFERROR(__xludf.DUMMYFUNCTION("""COMPUTED_VALUE"""),4.0)</f>
        <v>4</v>
      </c>
      <c r="Z10" s="44">
        <f>IFERROR(__xludf.DUMMYFUNCTION("""COMPUTED_VALUE"""),2.5)</f>
        <v>2.5</v>
      </c>
      <c r="AU10" s="43">
        <v>46031.0</v>
      </c>
      <c r="AX10" s="15" t="s">
        <v>86</v>
      </c>
      <c r="BB10" s="43">
        <f>IFERROR(__xludf.DUMMYFUNCTION("""COMPUTED_VALUE"""),46031.0)</f>
        <v>46031</v>
      </c>
      <c r="BC10" s="44"/>
      <c r="BD10" s="44"/>
      <c r="BE10" s="44">
        <f>IFERROR(__xludf.DUMMYFUNCTION("""COMPUTED_VALUE"""),4.0)</f>
        <v>4</v>
      </c>
      <c r="BF10" s="44">
        <f>IFERROR(__xludf.DUMMYFUNCTION("""COMPUTED_VALUE"""),5.0)</f>
        <v>5</v>
      </c>
    </row>
    <row r="11">
      <c r="A11" s="40">
        <v>46028.0</v>
      </c>
      <c r="B11" s="4" t="s">
        <v>180</v>
      </c>
      <c r="C11" s="4" t="s">
        <v>291</v>
      </c>
      <c r="D11" s="15" t="s">
        <v>93</v>
      </c>
      <c r="E11" s="15">
        <v>1.5</v>
      </c>
      <c r="V11" s="43">
        <f>IFERROR(__xludf.DUMMYFUNCTION("""COMPUTED_VALUE"""),46030.0)</f>
        <v>46030</v>
      </c>
      <c r="W11" s="44">
        <f>IFERROR(__xludf.DUMMYFUNCTION("""COMPUTED_VALUE"""),2.0)</f>
        <v>2</v>
      </c>
      <c r="X11" s="44"/>
      <c r="Y11" s="44">
        <f>IFERROR(__xludf.DUMMYFUNCTION("""COMPUTED_VALUE"""),5.0)</f>
        <v>5</v>
      </c>
      <c r="Z11" s="44">
        <f>IFERROR(__xludf.DUMMYFUNCTION("""COMPUTED_VALUE"""),3.0)</f>
        <v>3</v>
      </c>
      <c r="AU11" s="43">
        <v>46032.0</v>
      </c>
      <c r="AX11" s="15" t="s">
        <v>86</v>
      </c>
      <c r="BB11" s="43">
        <f>IFERROR(__xludf.DUMMYFUNCTION("""COMPUTED_VALUE"""),46032.0)</f>
        <v>46032</v>
      </c>
      <c r="BC11" s="44"/>
      <c r="BD11" s="44"/>
      <c r="BE11" s="44"/>
      <c r="BF11" s="44"/>
    </row>
    <row r="12">
      <c r="A12" s="40">
        <v>46028.0</v>
      </c>
      <c r="B12" s="4" t="s">
        <v>205</v>
      </c>
      <c r="C12" s="4" t="s">
        <v>259</v>
      </c>
      <c r="D12" s="15" t="s">
        <v>53</v>
      </c>
      <c r="E12" s="15">
        <v>1.0</v>
      </c>
      <c r="V12" s="43">
        <f>IFERROR(__xludf.DUMMYFUNCTION("""COMPUTED_VALUE"""),46031.0)</f>
        <v>46031</v>
      </c>
      <c r="W12" s="44"/>
      <c r="X12" s="44"/>
      <c r="Y12" s="44">
        <f>IFERROR(__xludf.DUMMYFUNCTION("""COMPUTED_VALUE"""),4.0)</f>
        <v>4</v>
      </c>
      <c r="Z12" s="44">
        <f>IFERROR(__xludf.DUMMYFUNCTION("""COMPUTED_VALUE"""),5.0)</f>
        <v>5</v>
      </c>
      <c r="AU12" s="43">
        <v>46033.0</v>
      </c>
      <c r="AX12" s="15" t="s">
        <v>86</v>
      </c>
      <c r="BB12" s="43">
        <f>IFERROR(__xludf.DUMMYFUNCTION("""COMPUTED_VALUE"""),46033.0)</f>
        <v>46033</v>
      </c>
      <c r="BC12" s="44"/>
      <c r="BD12" s="44"/>
      <c r="BE12" s="44"/>
      <c r="BF12" s="44"/>
    </row>
    <row r="13">
      <c r="A13" s="40">
        <v>46028.0</v>
      </c>
      <c r="B13" s="4" t="s">
        <v>230</v>
      </c>
      <c r="C13" s="4" t="s">
        <v>194</v>
      </c>
      <c r="D13" s="15" t="s">
        <v>53</v>
      </c>
      <c r="E13" s="15">
        <v>0.5</v>
      </c>
      <c r="V13" s="43">
        <f>IFERROR(__xludf.DUMMYFUNCTION("""COMPUTED_VALUE"""),46032.0)</f>
        <v>46032</v>
      </c>
      <c r="W13" s="44"/>
      <c r="X13" s="44"/>
      <c r="Y13" s="44"/>
      <c r="Z13" s="44"/>
      <c r="AU13" s="43">
        <v>46034.0</v>
      </c>
      <c r="AX13" s="15" t="s">
        <v>86</v>
      </c>
      <c r="BB13" s="43">
        <f>IFERROR(__xludf.DUMMYFUNCTION("""COMPUTED_VALUE"""),46034.0)</f>
        <v>46034</v>
      </c>
      <c r="BC13" s="44">
        <f>IFERROR(__xludf.DUMMYFUNCTION("""COMPUTED_VALUE"""),2.0)</f>
        <v>2</v>
      </c>
      <c r="BD13" s="44"/>
      <c r="BE13" s="44">
        <f>IFERROR(__xludf.DUMMYFUNCTION("""COMPUTED_VALUE"""),2.5)</f>
        <v>2.5</v>
      </c>
      <c r="BF13" s="44">
        <f>IFERROR(__xludf.DUMMYFUNCTION("""COMPUTED_VALUE"""),3.0)</f>
        <v>3</v>
      </c>
    </row>
    <row r="14">
      <c r="A14" s="40">
        <v>46028.0</v>
      </c>
      <c r="B14" s="4" t="s">
        <v>212</v>
      </c>
      <c r="C14" s="4" t="s">
        <v>259</v>
      </c>
      <c r="D14" s="15" t="s">
        <v>53</v>
      </c>
      <c r="E14" s="15">
        <v>1.0</v>
      </c>
      <c r="V14" s="43">
        <f>IFERROR(__xludf.DUMMYFUNCTION("""COMPUTED_VALUE"""),46033.0)</f>
        <v>46033</v>
      </c>
      <c r="W14" s="44"/>
      <c r="X14" s="44"/>
      <c r="Y14" s="44"/>
      <c r="Z14" s="44"/>
      <c r="AU14" s="43">
        <v>46035.0</v>
      </c>
      <c r="AX14" s="15" t="s">
        <v>86</v>
      </c>
      <c r="BB14" s="43">
        <f>IFERROR(__xludf.DUMMYFUNCTION("""COMPUTED_VALUE"""),46035.0)</f>
        <v>46035</v>
      </c>
      <c r="BC14" s="44">
        <f>IFERROR(__xludf.DUMMYFUNCTION("""COMPUTED_VALUE"""),3.0)</f>
        <v>3</v>
      </c>
      <c r="BD14" s="44"/>
      <c r="BE14" s="44">
        <f>IFERROR(__xludf.DUMMYFUNCTION("""COMPUTED_VALUE"""),3.0)</f>
        <v>3</v>
      </c>
      <c r="BF14" s="44">
        <f>IFERROR(__xludf.DUMMYFUNCTION("""COMPUTED_VALUE"""),3.0)</f>
        <v>3</v>
      </c>
    </row>
    <row r="15">
      <c r="A15" s="40">
        <v>46028.0</v>
      </c>
      <c r="B15" s="4" t="s">
        <v>251</v>
      </c>
      <c r="C15" s="4" t="s">
        <v>291</v>
      </c>
      <c r="D15" s="15" t="s">
        <v>53</v>
      </c>
      <c r="E15" s="15">
        <v>1.5</v>
      </c>
      <c r="V15" s="43">
        <f>IFERROR(__xludf.DUMMYFUNCTION("""COMPUTED_VALUE"""),46034.0)</f>
        <v>46034</v>
      </c>
      <c r="W15" s="44">
        <f>IFERROR(__xludf.DUMMYFUNCTION("""COMPUTED_VALUE"""),2.0)</f>
        <v>2</v>
      </c>
      <c r="X15" s="44"/>
      <c r="Y15" s="44">
        <f>IFERROR(__xludf.DUMMYFUNCTION("""COMPUTED_VALUE"""),2.5)</f>
        <v>2.5</v>
      </c>
      <c r="Z15" s="44">
        <f>IFERROR(__xludf.DUMMYFUNCTION("""COMPUTED_VALUE"""),3.0)</f>
        <v>3</v>
      </c>
      <c r="AU15" s="43">
        <v>46036.0</v>
      </c>
      <c r="AX15" s="15" t="s">
        <v>86</v>
      </c>
      <c r="BB15" s="43">
        <f>IFERROR(__xludf.DUMMYFUNCTION("""COMPUTED_VALUE"""),46036.0)</f>
        <v>46036</v>
      </c>
      <c r="BC15" s="44"/>
      <c r="BD15" s="44"/>
      <c r="BE15" s="44">
        <f>IFERROR(__xludf.DUMMYFUNCTION("""COMPUTED_VALUE"""),3.5)</f>
        <v>3.5</v>
      </c>
      <c r="BF15" s="44">
        <f>IFERROR(__xludf.DUMMYFUNCTION("""COMPUTED_VALUE"""),3.5)</f>
        <v>3.5</v>
      </c>
    </row>
    <row r="16">
      <c r="A16" s="40">
        <v>46028.0</v>
      </c>
      <c r="B16" s="4" t="s">
        <v>192</v>
      </c>
      <c r="C16" s="4" t="s">
        <v>194</v>
      </c>
      <c r="D16" s="15" t="s">
        <v>93</v>
      </c>
      <c r="E16" s="15">
        <v>0.5</v>
      </c>
      <c r="I16" s="4" t="s">
        <v>210</v>
      </c>
      <c r="J16" s="4" t="s">
        <v>213</v>
      </c>
      <c r="K16" s="4" t="s">
        <v>214</v>
      </c>
      <c r="L16" s="4" t="s">
        <v>215</v>
      </c>
      <c r="V16" s="43">
        <f>IFERROR(__xludf.DUMMYFUNCTION("""COMPUTED_VALUE"""),46035.0)</f>
        <v>46035</v>
      </c>
      <c r="W16" s="44">
        <f>IFERROR(__xludf.DUMMYFUNCTION("""COMPUTED_VALUE"""),3.0)</f>
        <v>3</v>
      </c>
      <c r="X16" s="44"/>
      <c r="Y16" s="44">
        <f>IFERROR(__xludf.DUMMYFUNCTION("""COMPUTED_VALUE"""),3.0)</f>
        <v>3</v>
      </c>
      <c r="Z16" s="44">
        <f>IFERROR(__xludf.DUMMYFUNCTION("""COMPUTED_VALUE"""),3.0)</f>
        <v>3</v>
      </c>
      <c r="AU16" s="43">
        <v>46037.0</v>
      </c>
      <c r="AX16" s="15" t="s">
        <v>86</v>
      </c>
      <c r="BB16" s="43">
        <f>IFERROR(__xludf.DUMMYFUNCTION("""COMPUTED_VALUE"""),46037.0)</f>
        <v>46037</v>
      </c>
      <c r="BC16" s="44">
        <f>IFERROR(__xludf.DUMMYFUNCTION("""COMPUTED_VALUE"""),1.0)</f>
        <v>1</v>
      </c>
      <c r="BD16" s="44"/>
      <c r="BE16" s="44">
        <f>IFERROR(__xludf.DUMMYFUNCTION("""COMPUTED_VALUE"""),2.5)</f>
        <v>2.5</v>
      </c>
      <c r="BF16" s="44">
        <f>IFERROR(__xludf.DUMMYFUNCTION("""COMPUTED_VALUE"""),5.5)</f>
        <v>5.5</v>
      </c>
    </row>
    <row r="17">
      <c r="A17" s="40">
        <v>46028.0</v>
      </c>
      <c r="B17" s="4" t="s">
        <v>212</v>
      </c>
      <c r="C17" s="4" t="s">
        <v>259</v>
      </c>
      <c r="D17" s="15" t="s">
        <v>53</v>
      </c>
      <c r="E17" s="15">
        <v>1.0</v>
      </c>
      <c r="I17" s="45">
        <f>TODAY() - WEEKDAY(TODAY(), 2) + 1 - 21</f>
        <v>46223</v>
      </c>
      <c r="J17" s="45">
        <f t="shared" ref="J17:K17" si="7">I17+7</f>
        <v>46230</v>
      </c>
      <c r="K17" s="45">
        <f t="shared" si="7"/>
        <v>46237</v>
      </c>
      <c r="L17" s="45">
        <f>TODAY() - WEEKDAY(TODAY(), 2) + 1</f>
        <v>46244</v>
      </c>
      <c r="V17" s="43">
        <f>IFERROR(__xludf.DUMMYFUNCTION("""COMPUTED_VALUE"""),46036.0)</f>
        <v>46036</v>
      </c>
      <c r="W17" s="44"/>
      <c r="X17" s="44"/>
      <c r="Y17" s="44">
        <f>IFERROR(__xludf.DUMMYFUNCTION("""COMPUTED_VALUE"""),3.5)</f>
        <v>3.5</v>
      </c>
      <c r="Z17" s="44">
        <f>IFERROR(__xludf.DUMMYFUNCTION("""COMPUTED_VALUE"""),3.5)</f>
        <v>3.5</v>
      </c>
      <c r="AU17" s="43">
        <v>46038.0</v>
      </c>
      <c r="AX17" s="15" t="s">
        <v>86</v>
      </c>
      <c r="BB17" s="43">
        <f>IFERROR(__xludf.DUMMYFUNCTION("""COMPUTED_VALUE"""),46038.0)</f>
        <v>46038</v>
      </c>
      <c r="BC17" s="44"/>
      <c r="BD17" s="44"/>
      <c r="BE17" s="44">
        <f>IFERROR(__xludf.DUMMYFUNCTION("""COMPUTED_VALUE"""),1.5)</f>
        <v>1.5</v>
      </c>
      <c r="BF17" s="44">
        <f>IFERROR(__xludf.DUMMYFUNCTION("""COMPUTED_VALUE"""),4.5)</f>
        <v>4.5</v>
      </c>
    </row>
    <row r="18">
      <c r="A18" s="40">
        <v>46028.0</v>
      </c>
      <c r="B18" s="4" t="s">
        <v>358</v>
      </c>
      <c r="C18" s="4" t="s">
        <v>259</v>
      </c>
      <c r="D18" s="15" t="s">
        <v>53</v>
      </c>
      <c r="E18" s="15">
        <v>1.0</v>
      </c>
      <c r="H18" s="4" t="s">
        <v>253</v>
      </c>
      <c r="I18" s="53">
        <f t="shared" ref="I18:K18" si="8">I4/40</f>
        <v>0</v>
      </c>
      <c r="J18" s="53">
        <f t="shared" si="8"/>
        <v>0</v>
      </c>
      <c r="K18" s="53">
        <f t="shared" si="8"/>
        <v>0</v>
      </c>
      <c r="V18" s="43">
        <f>IFERROR(__xludf.DUMMYFUNCTION("""COMPUTED_VALUE"""),46037.0)</f>
        <v>46037</v>
      </c>
      <c r="W18" s="44">
        <f>IFERROR(__xludf.DUMMYFUNCTION("""COMPUTED_VALUE"""),1.0)</f>
        <v>1</v>
      </c>
      <c r="X18" s="44"/>
      <c r="Y18" s="44">
        <f>IFERROR(__xludf.DUMMYFUNCTION("""COMPUTED_VALUE"""),2.5)</f>
        <v>2.5</v>
      </c>
      <c r="Z18" s="44">
        <f>IFERROR(__xludf.DUMMYFUNCTION("""COMPUTED_VALUE"""),5.5)</f>
        <v>5.5</v>
      </c>
      <c r="AU18" s="43">
        <v>46039.0</v>
      </c>
      <c r="AX18" s="15" t="s">
        <v>86</v>
      </c>
      <c r="BB18" s="43">
        <f>IFERROR(__xludf.DUMMYFUNCTION("""COMPUTED_VALUE"""),46039.0)</f>
        <v>46039</v>
      </c>
      <c r="BC18" s="44"/>
      <c r="BD18" s="44"/>
      <c r="BE18" s="44"/>
      <c r="BF18" s="44"/>
    </row>
    <row r="19">
      <c r="A19" s="40">
        <v>46028.0</v>
      </c>
      <c r="B19" s="4" t="s">
        <v>192</v>
      </c>
      <c r="C19" s="4" t="s">
        <v>259</v>
      </c>
      <c r="D19" s="15" t="s">
        <v>93</v>
      </c>
      <c r="E19" s="15">
        <v>1.0</v>
      </c>
      <c r="H19" s="15" t="str">
        <f t="array" ref="H19:H23">UNIQUE(D:D)</f>
        <v>Project</v>
      </c>
      <c r="V19" s="43">
        <f>IFERROR(__xludf.DUMMYFUNCTION("""COMPUTED_VALUE"""),46038.0)</f>
        <v>46038</v>
      </c>
      <c r="W19" s="44"/>
      <c r="X19" s="44"/>
      <c r="Y19" s="44">
        <f>IFERROR(__xludf.DUMMYFUNCTION("""COMPUTED_VALUE"""),1.5)</f>
        <v>1.5</v>
      </c>
      <c r="Z19" s="44">
        <f>IFERROR(__xludf.DUMMYFUNCTION("""COMPUTED_VALUE"""),4.5)</f>
        <v>4.5</v>
      </c>
      <c r="AU19" s="43">
        <v>46040.0</v>
      </c>
      <c r="AX19" s="15" t="s">
        <v>86</v>
      </c>
      <c r="BB19" s="43">
        <f>IFERROR(__xludf.DUMMYFUNCTION("""COMPUTED_VALUE"""),46040.0)</f>
        <v>46040</v>
      </c>
      <c r="BC19" s="44"/>
      <c r="BD19" s="44"/>
      <c r="BE19" s="44"/>
      <c r="BF19" s="44"/>
    </row>
    <row r="20">
      <c r="A20" s="40">
        <v>46029.0</v>
      </c>
      <c r="B20" s="4" t="s">
        <v>180</v>
      </c>
      <c r="C20" s="4" t="s">
        <v>259</v>
      </c>
      <c r="D20" s="15" t="s">
        <v>93</v>
      </c>
      <c r="E20" s="15">
        <v>1.0</v>
      </c>
      <c r="H20" s="15" t="s">
        <v>93</v>
      </c>
      <c r="I20" s="53" t="str">
        <f t="shared" ref="I20:L20" si="9">iferror(I6/I$4,"N/A")</f>
        <v>N/A</v>
      </c>
      <c r="J20" s="53" t="str">
        <f t="shared" si="9"/>
        <v>N/A</v>
      </c>
      <c r="K20" s="53" t="str">
        <f t="shared" si="9"/>
        <v>N/A</v>
      </c>
      <c r="L20" s="53" t="str">
        <f t="shared" si="9"/>
        <v>N/A</v>
      </c>
      <c r="V20" s="43">
        <f>IFERROR(__xludf.DUMMYFUNCTION("""COMPUTED_VALUE"""),46039.0)</f>
        <v>46039</v>
      </c>
      <c r="W20" s="44"/>
      <c r="X20" s="44"/>
      <c r="Y20" s="44"/>
      <c r="Z20" s="44"/>
      <c r="AU20" s="43">
        <v>46041.0</v>
      </c>
      <c r="AX20" s="15" t="s">
        <v>86</v>
      </c>
      <c r="BB20" s="43">
        <f>IFERROR(__xludf.DUMMYFUNCTION("""COMPUTED_VALUE"""),46041.0)</f>
        <v>46041</v>
      </c>
      <c r="BC20" s="44"/>
      <c r="BD20" s="44"/>
      <c r="BE20" s="44"/>
      <c r="BF20" s="44"/>
    </row>
    <row r="21">
      <c r="A21" s="40">
        <v>46029.0</v>
      </c>
      <c r="B21" s="4" t="s">
        <v>173</v>
      </c>
      <c r="C21" s="4" t="s">
        <v>194</v>
      </c>
      <c r="D21" s="15" t="s">
        <v>93</v>
      </c>
      <c r="E21" s="15">
        <v>0.5</v>
      </c>
      <c r="H21" s="15" t="s">
        <v>53</v>
      </c>
      <c r="I21" s="53" t="str">
        <f t="shared" ref="I21:L21" si="10">iferror(I7/I$4,"N/A")</f>
        <v>N/A</v>
      </c>
      <c r="J21" s="53" t="str">
        <f t="shared" si="10"/>
        <v>N/A</v>
      </c>
      <c r="K21" s="53" t="str">
        <f t="shared" si="10"/>
        <v>N/A</v>
      </c>
      <c r="L21" s="53" t="str">
        <f t="shared" si="10"/>
        <v>N/A</v>
      </c>
      <c r="V21" s="43">
        <f>IFERROR(__xludf.DUMMYFUNCTION("""COMPUTED_VALUE"""),46040.0)</f>
        <v>46040</v>
      </c>
      <c r="W21" s="44"/>
      <c r="X21" s="44"/>
      <c r="Y21" s="44"/>
      <c r="Z21" s="44"/>
      <c r="AU21" s="43">
        <v>46042.0</v>
      </c>
      <c r="AX21" s="15" t="s">
        <v>86</v>
      </c>
      <c r="BB21" s="43">
        <f>IFERROR(__xludf.DUMMYFUNCTION("""COMPUTED_VALUE"""),46042.0)</f>
        <v>46042</v>
      </c>
      <c r="BC21" s="44"/>
      <c r="BD21" s="44"/>
      <c r="BE21" s="44">
        <f>IFERROR(__xludf.DUMMYFUNCTION("""COMPUTED_VALUE"""),3.5)</f>
        <v>3.5</v>
      </c>
      <c r="BF21" s="44">
        <f>IFERROR(__xludf.DUMMYFUNCTION("""COMPUTED_VALUE"""),4.0)</f>
        <v>4</v>
      </c>
    </row>
    <row r="22">
      <c r="A22" s="40">
        <v>46029.0</v>
      </c>
      <c r="B22" s="4" t="s">
        <v>48</v>
      </c>
      <c r="C22" s="4" t="s">
        <v>194</v>
      </c>
      <c r="D22" s="15" t="s">
        <v>38</v>
      </c>
      <c r="E22" s="15">
        <v>0.5</v>
      </c>
      <c r="H22" s="15" t="s">
        <v>38</v>
      </c>
      <c r="I22" s="53" t="str">
        <f t="shared" ref="I22:L22" si="11">iferror(I8/I$4,"N/A")</f>
        <v>N/A</v>
      </c>
      <c r="J22" s="53" t="str">
        <f t="shared" si="11"/>
        <v>N/A</v>
      </c>
      <c r="K22" s="53" t="str">
        <f t="shared" si="11"/>
        <v>N/A</v>
      </c>
      <c r="L22" s="53" t="str">
        <f t="shared" si="11"/>
        <v>N/A</v>
      </c>
      <c r="V22" s="43">
        <f>IFERROR(__xludf.DUMMYFUNCTION("""COMPUTED_VALUE"""),46041.0)</f>
        <v>46041</v>
      </c>
      <c r="W22" s="44"/>
      <c r="X22" s="44"/>
      <c r="Y22" s="44"/>
      <c r="Z22" s="44"/>
      <c r="AU22" s="43">
        <v>46043.0</v>
      </c>
      <c r="AX22" s="15" t="s">
        <v>86</v>
      </c>
      <c r="BB22" s="43">
        <f>IFERROR(__xludf.DUMMYFUNCTION("""COMPUTED_VALUE"""),46043.0)</f>
        <v>46043</v>
      </c>
      <c r="BC22" s="44">
        <f>IFERROR(__xludf.DUMMYFUNCTION("""COMPUTED_VALUE"""),1.0)</f>
        <v>1</v>
      </c>
      <c r="BD22" s="44"/>
      <c r="BE22" s="44">
        <f>IFERROR(__xludf.DUMMYFUNCTION("""COMPUTED_VALUE"""),2.5)</f>
        <v>2.5</v>
      </c>
      <c r="BF22" s="44">
        <f>IFERROR(__xludf.DUMMYFUNCTION("""COMPUTED_VALUE"""),5.5)</f>
        <v>5.5</v>
      </c>
    </row>
    <row r="23">
      <c r="A23" s="40">
        <v>46029.0</v>
      </c>
      <c r="B23" s="4" t="s">
        <v>180</v>
      </c>
      <c r="C23" s="4" t="s">
        <v>259</v>
      </c>
      <c r="D23" s="15" t="s">
        <v>93</v>
      </c>
      <c r="E23" s="15">
        <v>1.0</v>
      </c>
      <c r="H23" s="15" t="s">
        <v>314</v>
      </c>
      <c r="I23" s="53" t="str">
        <f t="shared" ref="I23:L23" si="12">iferror(I9/I$4,"N/A")</f>
        <v>N/A</v>
      </c>
      <c r="J23" s="53" t="str">
        <f t="shared" si="12"/>
        <v>N/A</v>
      </c>
      <c r="K23" s="53" t="str">
        <f t="shared" si="12"/>
        <v>N/A</v>
      </c>
      <c r="L23" s="53" t="str">
        <f t="shared" si="12"/>
        <v>N/A</v>
      </c>
      <c r="V23" s="43">
        <f>IFERROR(__xludf.DUMMYFUNCTION("""COMPUTED_VALUE"""),46042.0)</f>
        <v>46042</v>
      </c>
      <c r="W23" s="44"/>
      <c r="X23" s="44"/>
      <c r="Y23" s="44">
        <f>IFERROR(__xludf.DUMMYFUNCTION("""COMPUTED_VALUE"""),3.5)</f>
        <v>3.5</v>
      </c>
      <c r="Z23" s="44">
        <f>IFERROR(__xludf.DUMMYFUNCTION("""COMPUTED_VALUE"""),4.0)</f>
        <v>4</v>
      </c>
      <c r="AU23" s="43">
        <v>46044.0</v>
      </c>
      <c r="AX23" s="15" t="s">
        <v>86</v>
      </c>
      <c r="BB23" s="43">
        <f>IFERROR(__xludf.DUMMYFUNCTION("""COMPUTED_VALUE"""),46044.0)</f>
        <v>46044</v>
      </c>
      <c r="BC23" s="44">
        <f>IFERROR(__xludf.DUMMYFUNCTION("""COMPUTED_VALUE"""),1.0)</f>
        <v>1</v>
      </c>
      <c r="BD23" s="44"/>
      <c r="BE23" s="44">
        <f>IFERROR(__xludf.DUMMYFUNCTION("""COMPUTED_VALUE"""),4.5)</f>
        <v>4.5</v>
      </c>
      <c r="BF23" s="44">
        <f>IFERROR(__xludf.DUMMYFUNCTION("""COMPUTED_VALUE"""),3.5)</f>
        <v>3.5</v>
      </c>
    </row>
    <row r="24">
      <c r="A24" s="40">
        <v>46029.0</v>
      </c>
      <c r="B24" s="4" t="s">
        <v>358</v>
      </c>
      <c r="C24" s="4" t="s">
        <v>291</v>
      </c>
      <c r="D24" s="15" t="s">
        <v>53</v>
      </c>
      <c r="E24" s="15">
        <v>1.5</v>
      </c>
      <c r="V24" s="43">
        <f>IFERROR(__xludf.DUMMYFUNCTION("""COMPUTED_VALUE"""),46043.0)</f>
        <v>46043</v>
      </c>
      <c r="W24" s="44">
        <f>IFERROR(__xludf.DUMMYFUNCTION("""COMPUTED_VALUE"""),1.0)</f>
        <v>1</v>
      </c>
      <c r="X24" s="44"/>
      <c r="Y24" s="44">
        <f>IFERROR(__xludf.DUMMYFUNCTION("""COMPUTED_VALUE"""),2.5)</f>
        <v>2.5</v>
      </c>
      <c r="Z24" s="44">
        <f>IFERROR(__xludf.DUMMYFUNCTION("""COMPUTED_VALUE"""),5.5)</f>
        <v>5.5</v>
      </c>
      <c r="AU24" s="43">
        <v>46045.0</v>
      </c>
      <c r="AX24" s="15" t="s">
        <v>86</v>
      </c>
      <c r="BB24" s="43">
        <f>IFERROR(__xludf.DUMMYFUNCTION("""COMPUTED_VALUE"""),46045.0)</f>
        <v>46045</v>
      </c>
      <c r="BC24" s="44">
        <f>IFERROR(__xludf.DUMMYFUNCTION("""COMPUTED_VALUE"""),1.0)</f>
        <v>1</v>
      </c>
      <c r="BD24" s="44"/>
      <c r="BE24" s="44">
        <f>IFERROR(__xludf.DUMMYFUNCTION("""COMPUTED_VALUE"""),7.0)</f>
        <v>7</v>
      </c>
      <c r="BF24" s="44">
        <f>IFERROR(__xludf.DUMMYFUNCTION("""COMPUTED_VALUE"""),2.0)</f>
        <v>2</v>
      </c>
    </row>
    <row r="25">
      <c r="A25" s="40">
        <v>46029.0</v>
      </c>
      <c r="B25" s="4" t="s">
        <v>218</v>
      </c>
      <c r="C25" s="4" t="s">
        <v>259</v>
      </c>
      <c r="D25" s="15" t="s">
        <v>53</v>
      </c>
      <c r="E25" s="15">
        <v>1.0</v>
      </c>
      <c r="V25" s="43">
        <f>IFERROR(__xludf.DUMMYFUNCTION("""COMPUTED_VALUE"""),46044.0)</f>
        <v>46044</v>
      </c>
      <c r="W25" s="44">
        <f>IFERROR(__xludf.DUMMYFUNCTION("""COMPUTED_VALUE"""),1.0)</f>
        <v>1</v>
      </c>
      <c r="X25" s="44"/>
      <c r="Y25" s="44">
        <f>IFERROR(__xludf.DUMMYFUNCTION("""COMPUTED_VALUE"""),4.5)</f>
        <v>4.5</v>
      </c>
      <c r="Z25" s="44">
        <f>IFERROR(__xludf.DUMMYFUNCTION("""COMPUTED_VALUE"""),3.5)</f>
        <v>3.5</v>
      </c>
      <c r="AU25" s="43">
        <v>46046.0</v>
      </c>
      <c r="AX25" s="15" t="s">
        <v>86</v>
      </c>
      <c r="BB25" s="43">
        <f>IFERROR(__xludf.DUMMYFUNCTION("""COMPUTED_VALUE"""),46046.0)</f>
        <v>46046</v>
      </c>
      <c r="BC25" s="44"/>
      <c r="BD25" s="44"/>
      <c r="BE25" s="44"/>
      <c r="BF25" s="44"/>
    </row>
    <row r="26">
      <c r="A26" s="40">
        <v>46029.0</v>
      </c>
      <c r="B26" s="4" t="s">
        <v>192</v>
      </c>
      <c r="C26" s="4" t="s">
        <v>259</v>
      </c>
      <c r="D26" s="15" t="s">
        <v>93</v>
      </c>
      <c r="E26" s="15">
        <v>1.0</v>
      </c>
      <c r="V26" s="43">
        <f>IFERROR(__xludf.DUMMYFUNCTION("""COMPUTED_VALUE"""),46045.0)</f>
        <v>46045</v>
      </c>
      <c r="W26" s="44">
        <f>IFERROR(__xludf.DUMMYFUNCTION("""COMPUTED_VALUE"""),1.0)</f>
        <v>1</v>
      </c>
      <c r="X26" s="44"/>
      <c r="Y26" s="44">
        <f>IFERROR(__xludf.DUMMYFUNCTION("""COMPUTED_VALUE"""),7.0)</f>
        <v>7</v>
      </c>
      <c r="Z26" s="44">
        <f>IFERROR(__xludf.DUMMYFUNCTION("""COMPUTED_VALUE"""),2.0)</f>
        <v>2</v>
      </c>
      <c r="AU26" s="43">
        <v>46047.0</v>
      </c>
      <c r="AX26" s="15" t="s">
        <v>86</v>
      </c>
      <c r="BB26" s="43">
        <f>IFERROR(__xludf.DUMMYFUNCTION("""COMPUTED_VALUE"""),46047.0)</f>
        <v>46047</v>
      </c>
      <c r="BC26" s="44"/>
      <c r="BD26" s="44"/>
      <c r="BE26" s="44"/>
      <c r="BF26" s="44"/>
    </row>
    <row r="27">
      <c r="A27" s="40">
        <v>46030.0</v>
      </c>
      <c r="B27" s="4" t="s">
        <v>230</v>
      </c>
      <c r="C27" s="4" t="s">
        <v>259</v>
      </c>
      <c r="D27" s="15" t="s">
        <v>53</v>
      </c>
      <c r="E27" s="15">
        <v>1.0</v>
      </c>
      <c r="V27" s="43">
        <f>IFERROR(__xludf.DUMMYFUNCTION("""COMPUTED_VALUE"""),46046.0)</f>
        <v>46046</v>
      </c>
      <c r="W27" s="44"/>
      <c r="X27" s="44"/>
      <c r="Y27" s="44"/>
      <c r="Z27" s="44"/>
      <c r="AU27" s="43">
        <v>46048.0</v>
      </c>
      <c r="AX27" s="15" t="s">
        <v>86</v>
      </c>
      <c r="BB27" s="43">
        <f>IFERROR(__xludf.DUMMYFUNCTION("""COMPUTED_VALUE"""),46048.0)</f>
        <v>46048</v>
      </c>
      <c r="BC27" s="44"/>
      <c r="BD27" s="44"/>
      <c r="BE27" s="44">
        <f>IFERROR(__xludf.DUMMYFUNCTION("""COMPUTED_VALUE"""),2.5)</f>
        <v>2.5</v>
      </c>
      <c r="BF27" s="44">
        <f>IFERROR(__xludf.DUMMYFUNCTION("""COMPUTED_VALUE"""),3.0)</f>
        <v>3</v>
      </c>
    </row>
    <row r="28">
      <c r="A28" s="40">
        <v>46030.0</v>
      </c>
      <c r="B28" s="4" t="s">
        <v>176</v>
      </c>
      <c r="C28" s="4" t="s">
        <v>259</v>
      </c>
      <c r="D28" s="15" t="s">
        <v>93</v>
      </c>
      <c r="E28" s="15">
        <v>1.0</v>
      </c>
      <c r="V28" s="43">
        <f>IFERROR(__xludf.DUMMYFUNCTION("""COMPUTED_VALUE"""),46047.0)</f>
        <v>46047</v>
      </c>
      <c r="W28" s="44"/>
      <c r="X28" s="44"/>
      <c r="Y28" s="44"/>
      <c r="Z28" s="44"/>
      <c r="AU28" s="43">
        <v>46049.0</v>
      </c>
      <c r="AX28" s="15" t="s">
        <v>86</v>
      </c>
      <c r="BB28" s="43">
        <f>IFERROR(__xludf.DUMMYFUNCTION("""COMPUTED_VALUE"""),46049.0)</f>
        <v>46049</v>
      </c>
      <c r="BC28" s="44">
        <f>IFERROR(__xludf.DUMMYFUNCTION("""COMPUTED_VALUE"""),1.25)</f>
        <v>1.25</v>
      </c>
      <c r="BD28" s="44"/>
      <c r="BE28" s="44">
        <f>IFERROR(__xludf.DUMMYFUNCTION("""COMPUTED_VALUE"""),3.25)</f>
        <v>3.25</v>
      </c>
      <c r="BF28" s="44">
        <f>IFERROR(__xludf.DUMMYFUNCTION("""COMPUTED_VALUE"""),2.0)</f>
        <v>2</v>
      </c>
    </row>
    <row r="29">
      <c r="A29" s="40">
        <v>46030.0</v>
      </c>
      <c r="B29" s="4" t="s">
        <v>173</v>
      </c>
      <c r="C29" s="4" t="s">
        <v>194</v>
      </c>
      <c r="D29" s="15" t="s">
        <v>93</v>
      </c>
      <c r="E29" s="15">
        <v>0.5</v>
      </c>
      <c r="V29" s="43">
        <f>IFERROR(__xludf.DUMMYFUNCTION("""COMPUTED_VALUE"""),46048.0)</f>
        <v>46048</v>
      </c>
      <c r="W29" s="44"/>
      <c r="X29" s="44"/>
      <c r="Y29" s="44">
        <f>IFERROR(__xludf.DUMMYFUNCTION("""COMPUTED_VALUE"""),2.5)</f>
        <v>2.5</v>
      </c>
      <c r="Z29" s="44">
        <f>IFERROR(__xludf.DUMMYFUNCTION("""COMPUTED_VALUE"""),3.0)</f>
        <v>3</v>
      </c>
      <c r="AU29" s="43">
        <v>46050.0</v>
      </c>
      <c r="AX29" s="15" t="s">
        <v>86</v>
      </c>
      <c r="BB29" s="43">
        <f>IFERROR(__xludf.DUMMYFUNCTION("""COMPUTED_VALUE"""),46050.0)</f>
        <v>46050</v>
      </c>
      <c r="BC29" s="44"/>
      <c r="BD29" s="44"/>
      <c r="BE29" s="44">
        <f>IFERROR(__xludf.DUMMYFUNCTION("""COMPUTED_VALUE"""),4.25)</f>
        <v>4.25</v>
      </c>
      <c r="BF29" s="44">
        <f>IFERROR(__xludf.DUMMYFUNCTION("""COMPUTED_VALUE"""),2.25)</f>
        <v>2.25</v>
      </c>
    </row>
    <row r="30">
      <c r="A30" s="40">
        <v>46030.0</v>
      </c>
      <c r="B30" s="4" t="s">
        <v>483</v>
      </c>
      <c r="C30" s="4" t="s">
        <v>194</v>
      </c>
      <c r="D30" s="15" t="s">
        <v>93</v>
      </c>
      <c r="E30" s="15">
        <v>0.5</v>
      </c>
      <c r="V30" s="43">
        <f>IFERROR(__xludf.DUMMYFUNCTION("""COMPUTED_VALUE"""),46049.0)</f>
        <v>46049</v>
      </c>
      <c r="W30" s="44">
        <f>IFERROR(__xludf.DUMMYFUNCTION("""COMPUTED_VALUE"""),1.25)</f>
        <v>1.25</v>
      </c>
      <c r="X30" s="44"/>
      <c r="Y30" s="44">
        <f>IFERROR(__xludf.DUMMYFUNCTION("""COMPUTED_VALUE"""),3.25)</f>
        <v>3.25</v>
      </c>
      <c r="Z30" s="44">
        <f>IFERROR(__xludf.DUMMYFUNCTION("""COMPUTED_VALUE"""),2.0)</f>
        <v>2</v>
      </c>
      <c r="AU30" s="43">
        <v>46051.0</v>
      </c>
      <c r="AX30" s="15" t="s">
        <v>86</v>
      </c>
      <c r="BB30" s="43">
        <f>IFERROR(__xludf.DUMMYFUNCTION("""COMPUTED_VALUE"""),46051.0)</f>
        <v>46051</v>
      </c>
      <c r="BC30" s="44"/>
      <c r="BD30" s="44"/>
      <c r="BE30" s="44">
        <f>IFERROR(__xludf.DUMMYFUNCTION("""COMPUTED_VALUE"""),2.0)</f>
        <v>2</v>
      </c>
      <c r="BF30" s="44"/>
    </row>
    <row r="31">
      <c r="A31" s="40">
        <v>46030.0</v>
      </c>
      <c r="B31" s="4" t="s">
        <v>176</v>
      </c>
      <c r="C31" s="4" t="s">
        <v>259</v>
      </c>
      <c r="D31" s="15" t="s">
        <v>93</v>
      </c>
      <c r="E31" s="15">
        <v>1.0</v>
      </c>
      <c r="V31" s="43">
        <f>IFERROR(__xludf.DUMMYFUNCTION("""COMPUTED_VALUE"""),46050.0)</f>
        <v>46050</v>
      </c>
      <c r="W31" s="44"/>
      <c r="X31" s="44"/>
      <c r="Y31" s="44">
        <f>IFERROR(__xludf.DUMMYFUNCTION("""COMPUTED_VALUE"""),4.25)</f>
        <v>4.25</v>
      </c>
      <c r="Z31" s="44">
        <f>IFERROR(__xludf.DUMMYFUNCTION("""COMPUTED_VALUE"""),2.25)</f>
        <v>2.25</v>
      </c>
      <c r="AU31" s="43">
        <v>46052.0</v>
      </c>
      <c r="AX31" s="15" t="s">
        <v>86</v>
      </c>
      <c r="BB31" s="43">
        <f>IFERROR(__xludf.DUMMYFUNCTION("""COMPUTED_VALUE"""),46052.0)</f>
        <v>46052</v>
      </c>
      <c r="BC31" s="44">
        <f>IFERROR(__xludf.DUMMYFUNCTION("""COMPUTED_VALUE"""),0.5)</f>
        <v>0.5</v>
      </c>
      <c r="BD31" s="44"/>
      <c r="BE31" s="44">
        <f>IFERROR(__xludf.DUMMYFUNCTION("""COMPUTED_VALUE"""),4.0)</f>
        <v>4</v>
      </c>
      <c r="BF31" s="44">
        <f>IFERROR(__xludf.DUMMYFUNCTION("""COMPUTED_VALUE"""),2.0)</f>
        <v>2</v>
      </c>
    </row>
    <row r="32">
      <c r="A32" s="40">
        <v>46030.0</v>
      </c>
      <c r="B32" s="4" t="s">
        <v>48</v>
      </c>
      <c r="C32" s="4" t="s">
        <v>194</v>
      </c>
      <c r="D32" s="15" t="s">
        <v>38</v>
      </c>
      <c r="E32" s="15">
        <v>0.5</v>
      </c>
      <c r="V32" s="43">
        <f>IFERROR(__xludf.DUMMYFUNCTION("""COMPUTED_VALUE"""),46051.0)</f>
        <v>46051</v>
      </c>
      <c r="W32" s="44"/>
      <c r="X32" s="44"/>
      <c r="Y32" s="44">
        <f>IFERROR(__xludf.DUMMYFUNCTION("""COMPUTED_VALUE"""),2.0)</f>
        <v>2</v>
      </c>
      <c r="Z32" s="44"/>
      <c r="AU32" s="43">
        <v>46053.0</v>
      </c>
      <c r="AX32" s="15" t="s">
        <v>86</v>
      </c>
      <c r="BB32" s="43">
        <f>IFERROR(__xludf.DUMMYFUNCTION("""COMPUTED_VALUE"""),46053.0)</f>
        <v>46053</v>
      </c>
      <c r="BC32" s="44"/>
      <c r="BD32" s="44"/>
      <c r="BE32" s="44"/>
      <c r="BF32" s="44"/>
    </row>
    <row r="33">
      <c r="A33" s="40">
        <v>46030.0</v>
      </c>
      <c r="B33" s="4" t="s">
        <v>31</v>
      </c>
      <c r="C33" s="4" t="s">
        <v>259</v>
      </c>
      <c r="D33" s="15" t="s">
        <v>38</v>
      </c>
      <c r="E33" s="15">
        <v>1.0</v>
      </c>
      <c r="V33" s="43">
        <f>IFERROR(__xludf.DUMMYFUNCTION("""COMPUTED_VALUE"""),46052.0)</f>
        <v>46052</v>
      </c>
      <c r="W33" s="44">
        <f>IFERROR(__xludf.DUMMYFUNCTION("""COMPUTED_VALUE"""),0.5)</f>
        <v>0.5</v>
      </c>
      <c r="X33" s="44"/>
      <c r="Y33" s="44">
        <f>IFERROR(__xludf.DUMMYFUNCTION("""COMPUTED_VALUE"""),4.0)</f>
        <v>4</v>
      </c>
      <c r="Z33" s="44">
        <f>IFERROR(__xludf.DUMMYFUNCTION("""COMPUTED_VALUE"""),2.0)</f>
        <v>2</v>
      </c>
      <c r="AU33" s="43">
        <v>46054.0</v>
      </c>
      <c r="AX33" s="15" t="s">
        <v>86</v>
      </c>
      <c r="BB33" s="43">
        <f>IFERROR(__xludf.DUMMYFUNCTION("""COMPUTED_VALUE"""),46054.0)</f>
        <v>46054</v>
      </c>
      <c r="BC33" s="44"/>
      <c r="BD33" s="44"/>
      <c r="BE33" s="44"/>
      <c r="BF33" s="44"/>
    </row>
    <row r="34">
      <c r="A34" s="40">
        <v>46030.0</v>
      </c>
      <c r="B34" s="4" t="s">
        <v>358</v>
      </c>
      <c r="C34" s="4" t="s">
        <v>259</v>
      </c>
      <c r="D34" s="15" t="s">
        <v>53</v>
      </c>
      <c r="E34" s="15">
        <v>1.0</v>
      </c>
      <c r="V34" s="43">
        <f>IFERROR(__xludf.DUMMYFUNCTION("""COMPUTED_VALUE"""),46053.0)</f>
        <v>46053</v>
      </c>
      <c r="W34" s="44"/>
      <c r="X34" s="44"/>
      <c r="Y34" s="44"/>
      <c r="Z34" s="44"/>
      <c r="AU34" s="43">
        <v>46055.0</v>
      </c>
      <c r="AX34" s="15" t="s">
        <v>86</v>
      </c>
      <c r="BB34" s="43">
        <f>IFERROR(__xludf.DUMMYFUNCTION("""COMPUTED_VALUE"""),46055.0)</f>
        <v>46055</v>
      </c>
      <c r="BC34" s="44"/>
      <c r="BD34" s="44"/>
      <c r="BE34" s="44">
        <f>IFERROR(__xludf.DUMMYFUNCTION("""COMPUTED_VALUE"""),3.0)</f>
        <v>3</v>
      </c>
      <c r="BF34" s="44">
        <f>IFERROR(__xludf.DUMMYFUNCTION("""COMPUTED_VALUE"""),9.0)</f>
        <v>9</v>
      </c>
    </row>
    <row r="35">
      <c r="A35" s="40">
        <v>46030.0</v>
      </c>
      <c r="B35" s="4" t="s">
        <v>48</v>
      </c>
      <c r="C35" s="4" t="s">
        <v>194</v>
      </c>
      <c r="D35" s="15" t="s">
        <v>38</v>
      </c>
      <c r="E35" s="15">
        <v>0.5</v>
      </c>
      <c r="V35" s="43">
        <f>IFERROR(__xludf.DUMMYFUNCTION("""COMPUTED_VALUE"""),46054.0)</f>
        <v>46054</v>
      </c>
      <c r="W35" s="44"/>
      <c r="X35" s="44"/>
      <c r="Y35" s="44"/>
      <c r="Z35" s="44"/>
      <c r="AU35" s="43">
        <v>46056.0</v>
      </c>
      <c r="AX35" s="15" t="s">
        <v>86</v>
      </c>
      <c r="BB35" s="43">
        <f>IFERROR(__xludf.DUMMYFUNCTION("""COMPUTED_VALUE"""),46056.0)</f>
        <v>46056</v>
      </c>
      <c r="BC35" s="44">
        <f>IFERROR(__xludf.DUMMYFUNCTION("""COMPUTED_VALUE"""),1.0)</f>
        <v>1</v>
      </c>
      <c r="BD35" s="44"/>
      <c r="BE35" s="44">
        <f>IFERROR(__xludf.DUMMYFUNCTION("""COMPUTED_VALUE"""),7.5)</f>
        <v>7.5</v>
      </c>
      <c r="BF35" s="44">
        <f>IFERROR(__xludf.DUMMYFUNCTION("""COMPUTED_VALUE"""),2.0)</f>
        <v>2</v>
      </c>
    </row>
    <row r="36">
      <c r="A36" s="40">
        <v>46030.0</v>
      </c>
      <c r="B36" s="4" t="s">
        <v>170</v>
      </c>
      <c r="C36" s="4" t="s">
        <v>194</v>
      </c>
      <c r="D36" s="15" t="s">
        <v>93</v>
      </c>
      <c r="E36" s="15">
        <v>0.5</v>
      </c>
      <c r="V36" s="43">
        <f>IFERROR(__xludf.DUMMYFUNCTION("""COMPUTED_VALUE"""),46055.0)</f>
        <v>46055</v>
      </c>
      <c r="W36" s="44"/>
      <c r="X36" s="44"/>
      <c r="Y36" s="44">
        <f>IFERROR(__xludf.DUMMYFUNCTION("""COMPUTED_VALUE"""),3.0)</f>
        <v>3</v>
      </c>
      <c r="Z36" s="44">
        <f>IFERROR(__xludf.DUMMYFUNCTION("""COMPUTED_VALUE"""),9.0)</f>
        <v>9</v>
      </c>
      <c r="AU36" s="43">
        <v>46057.0</v>
      </c>
      <c r="AX36" s="15" t="s">
        <v>86</v>
      </c>
      <c r="BB36" s="43">
        <f>IFERROR(__xludf.DUMMYFUNCTION("""COMPUTED_VALUE"""),46057.0)</f>
        <v>46057</v>
      </c>
      <c r="BC36" s="44">
        <f>IFERROR(__xludf.DUMMYFUNCTION("""COMPUTED_VALUE"""),1.5)</f>
        <v>1.5</v>
      </c>
      <c r="BD36" s="44"/>
      <c r="BE36" s="44">
        <f>IFERROR(__xludf.DUMMYFUNCTION("""COMPUTED_VALUE"""),5.0)</f>
        <v>5</v>
      </c>
      <c r="BF36" s="44">
        <f>IFERROR(__xludf.DUMMYFUNCTION("""COMPUTED_VALUE"""),3.0)</f>
        <v>3</v>
      </c>
    </row>
    <row r="37">
      <c r="A37" s="40">
        <v>46030.0</v>
      </c>
      <c r="B37" s="4" t="s">
        <v>173</v>
      </c>
      <c r="C37" s="4" t="s">
        <v>194</v>
      </c>
      <c r="D37" s="15" t="s">
        <v>93</v>
      </c>
      <c r="E37" s="15">
        <v>0.5</v>
      </c>
      <c r="V37" s="43">
        <f>IFERROR(__xludf.DUMMYFUNCTION("""COMPUTED_VALUE"""),46056.0)</f>
        <v>46056</v>
      </c>
      <c r="W37" s="44">
        <f>IFERROR(__xludf.DUMMYFUNCTION("""COMPUTED_VALUE"""),1.0)</f>
        <v>1</v>
      </c>
      <c r="X37" s="44"/>
      <c r="Y37" s="44">
        <f>IFERROR(__xludf.DUMMYFUNCTION("""COMPUTED_VALUE"""),7.5)</f>
        <v>7.5</v>
      </c>
      <c r="Z37" s="44">
        <f>IFERROR(__xludf.DUMMYFUNCTION("""COMPUTED_VALUE"""),2.0)</f>
        <v>2</v>
      </c>
      <c r="AU37" s="43">
        <v>46058.0</v>
      </c>
      <c r="AX37" s="15" t="s">
        <v>86</v>
      </c>
      <c r="BB37" s="43">
        <f>IFERROR(__xludf.DUMMYFUNCTION("""COMPUTED_VALUE"""),46058.0)</f>
        <v>46058</v>
      </c>
      <c r="BC37" s="44">
        <f>IFERROR(__xludf.DUMMYFUNCTION("""COMPUTED_VALUE"""),3.0)</f>
        <v>3</v>
      </c>
      <c r="BD37" s="44"/>
      <c r="BE37" s="44">
        <f>IFERROR(__xludf.DUMMYFUNCTION("""COMPUTED_VALUE"""),3.5)</f>
        <v>3.5</v>
      </c>
      <c r="BF37" s="44">
        <f>IFERROR(__xludf.DUMMYFUNCTION("""COMPUTED_VALUE"""),3.0)</f>
        <v>3</v>
      </c>
    </row>
    <row r="38">
      <c r="A38" s="40">
        <v>46030.0</v>
      </c>
      <c r="B38" s="4" t="s">
        <v>221</v>
      </c>
      <c r="C38" s="4" t="s">
        <v>259</v>
      </c>
      <c r="D38" s="15" t="s">
        <v>53</v>
      </c>
      <c r="E38" s="15">
        <v>1.0</v>
      </c>
      <c r="V38" s="43">
        <f>IFERROR(__xludf.DUMMYFUNCTION("""COMPUTED_VALUE"""),46057.0)</f>
        <v>46057</v>
      </c>
      <c r="W38" s="44">
        <f>IFERROR(__xludf.DUMMYFUNCTION("""COMPUTED_VALUE"""),1.5)</f>
        <v>1.5</v>
      </c>
      <c r="X38" s="44"/>
      <c r="Y38" s="44">
        <f>IFERROR(__xludf.DUMMYFUNCTION("""COMPUTED_VALUE"""),5.0)</f>
        <v>5</v>
      </c>
      <c r="Z38" s="44">
        <f>IFERROR(__xludf.DUMMYFUNCTION("""COMPUTED_VALUE"""),3.0)</f>
        <v>3</v>
      </c>
      <c r="AU38" s="43">
        <v>46059.0</v>
      </c>
      <c r="AX38" s="15" t="s">
        <v>86</v>
      </c>
      <c r="BB38" s="43">
        <f>IFERROR(__xludf.DUMMYFUNCTION("""COMPUTED_VALUE"""),46059.0)</f>
        <v>46059</v>
      </c>
      <c r="BC38" s="44">
        <f>IFERROR(__xludf.DUMMYFUNCTION("""COMPUTED_VALUE"""),2.0)</f>
        <v>2</v>
      </c>
      <c r="BD38" s="44"/>
      <c r="BE38" s="44">
        <f>IFERROR(__xludf.DUMMYFUNCTION("""COMPUTED_VALUE"""),4.5)</f>
        <v>4.5</v>
      </c>
      <c r="BF38" s="44">
        <f>IFERROR(__xludf.DUMMYFUNCTION("""COMPUTED_VALUE"""),5.0)</f>
        <v>5</v>
      </c>
    </row>
    <row r="39">
      <c r="A39" s="40">
        <v>46030.0</v>
      </c>
      <c r="B39" s="4" t="s">
        <v>176</v>
      </c>
      <c r="C39" s="4" t="s">
        <v>259</v>
      </c>
      <c r="D39" s="15" t="s">
        <v>93</v>
      </c>
      <c r="E39" s="15">
        <v>1.0</v>
      </c>
      <c r="V39" s="43">
        <f>IFERROR(__xludf.DUMMYFUNCTION("""COMPUTED_VALUE"""),46058.0)</f>
        <v>46058</v>
      </c>
      <c r="W39" s="44">
        <f>IFERROR(__xludf.DUMMYFUNCTION("""COMPUTED_VALUE"""),3.0)</f>
        <v>3</v>
      </c>
      <c r="X39" s="44"/>
      <c r="Y39" s="44">
        <f>IFERROR(__xludf.DUMMYFUNCTION("""COMPUTED_VALUE"""),3.5)</f>
        <v>3.5</v>
      </c>
      <c r="Z39" s="44">
        <f>IFERROR(__xludf.DUMMYFUNCTION("""COMPUTED_VALUE"""),3.0)</f>
        <v>3</v>
      </c>
      <c r="AU39" s="43">
        <v>46060.0</v>
      </c>
      <c r="AX39" s="15" t="s">
        <v>86</v>
      </c>
      <c r="BB39" s="43">
        <f>IFERROR(__xludf.DUMMYFUNCTION("""COMPUTED_VALUE"""),46060.0)</f>
        <v>46060</v>
      </c>
      <c r="BC39" s="44"/>
      <c r="BD39" s="44"/>
      <c r="BE39" s="44"/>
      <c r="BF39" s="44"/>
    </row>
    <row r="40">
      <c r="A40" s="40">
        <v>46031.0</v>
      </c>
      <c r="B40" s="4" t="s">
        <v>251</v>
      </c>
      <c r="C40" s="4" t="s">
        <v>259</v>
      </c>
      <c r="D40" s="15" t="s">
        <v>53</v>
      </c>
      <c r="E40" s="15">
        <v>1.0</v>
      </c>
      <c r="V40" s="43">
        <f>IFERROR(__xludf.DUMMYFUNCTION("""COMPUTED_VALUE"""),46059.0)</f>
        <v>46059</v>
      </c>
      <c r="W40" s="44">
        <f>IFERROR(__xludf.DUMMYFUNCTION("""COMPUTED_VALUE"""),2.0)</f>
        <v>2</v>
      </c>
      <c r="X40" s="44"/>
      <c r="Y40" s="44">
        <f>IFERROR(__xludf.DUMMYFUNCTION("""COMPUTED_VALUE"""),4.5)</f>
        <v>4.5</v>
      </c>
      <c r="Z40" s="44">
        <f>IFERROR(__xludf.DUMMYFUNCTION("""COMPUTED_VALUE"""),5.0)</f>
        <v>5</v>
      </c>
      <c r="AU40" s="43">
        <v>46061.0</v>
      </c>
      <c r="AX40" s="15" t="s">
        <v>86</v>
      </c>
      <c r="BB40" s="43">
        <f>IFERROR(__xludf.DUMMYFUNCTION("""COMPUTED_VALUE"""),46061.0)</f>
        <v>46061</v>
      </c>
      <c r="BC40" s="44"/>
      <c r="BD40" s="44"/>
      <c r="BE40" s="44"/>
      <c r="BF40" s="44"/>
    </row>
    <row r="41">
      <c r="A41" s="40">
        <v>46031.0</v>
      </c>
      <c r="B41" s="4" t="s">
        <v>176</v>
      </c>
      <c r="C41" s="4" t="s">
        <v>259</v>
      </c>
      <c r="D41" s="15" t="s">
        <v>93</v>
      </c>
      <c r="E41" s="15">
        <v>1.0</v>
      </c>
      <c r="V41" s="43">
        <f>IFERROR(__xludf.DUMMYFUNCTION("""COMPUTED_VALUE"""),46060.0)</f>
        <v>46060</v>
      </c>
      <c r="W41" s="44"/>
      <c r="X41" s="44"/>
      <c r="Y41" s="44"/>
      <c r="Z41" s="44"/>
      <c r="AU41" s="43">
        <v>46062.0</v>
      </c>
      <c r="AX41" s="15" t="s">
        <v>86</v>
      </c>
      <c r="BB41" s="43">
        <f>IFERROR(__xludf.DUMMYFUNCTION("""COMPUTED_VALUE"""),46062.0)</f>
        <v>46062</v>
      </c>
      <c r="BC41" s="44">
        <f>IFERROR(__xludf.DUMMYFUNCTION("""COMPUTED_VALUE"""),0.9166666666666667)</f>
        <v>0.9166666667</v>
      </c>
      <c r="BD41" s="44">
        <f>IFERROR(__xludf.DUMMYFUNCTION("""COMPUTED_VALUE"""),2.25)</f>
        <v>2.25</v>
      </c>
      <c r="BE41" s="44">
        <f>IFERROR(__xludf.DUMMYFUNCTION("""COMPUTED_VALUE"""),2.5)</f>
        <v>2.5</v>
      </c>
      <c r="BF41" s="44">
        <f>IFERROR(__xludf.DUMMYFUNCTION("""COMPUTED_VALUE"""),3.25)</f>
        <v>3.25</v>
      </c>
    </row>
    <row r="42">
      <c r="A42" s="40">
        <v>46031.0</v>
      </c>
      <c r="B42" s="4" t="s">
        <v>552</v>
      </c>
      <c r="C42" s="4" t="s">
        <v>194</v>
      </c>
      <c r="D42" s="15" t="s">
        <v>93</v>
      </c>
      <c r="E42" s="15">
        <v>0.5</v>
      </c>
      <c r="V42" s="43">
        <f>IFERROR(__xludf.DUMMYFUNCTION("""COMPUTED_VALUE"""),46061.0)</f>
        <v>46061</v>
      </c>
      <c r="W42" s="44"/>
      <c r="X42" s="44"/>
      <c r="Y42" s="44"/>
      <c r="Z42" s="44"/>
      <c r="AU42" s="43">
        <v>46063.0</v>
      </c>
      <c r="AX42" s="15" t="s">
        <v>86</v>
      </c>
      <c r="BB42" s="43">
        <f>IFERROR(__xludf.DUMMYFUNCTION("""COMPUTED_VALUE"""),46063.0)</f>
        <v>46063</v>
      </c>
      <c r="BC42" s="44">
        <f>IFERROR(__xludf.DUMMYFUNCTION("""COMPUTED_VALUE"""),0.9166666666666667)</f>
        <v>0.9166666667</v>
      </c>
      <c r="BD42" s="44">
        <f>IFERROR(__xludf.DUMMYFUNCTION("""COMPUTED_VALUE"""),1.5)</f>
        <v>1.5</v>
      </c>
      <c r="BE42" s="44">
        <f>IFERROR(__xludf.DUMMYFUNCTION("""COMPUTED_VALUE"""),4.0)</f>
        <v>4</v>
      </c>
      <c r="BF42" s="44">
        <f>IFERROR(__xludf.DUMMYFUNCTION("""COMPUTED_VALUE"""),1.0)</f>
        <v>1</v>
      </c>
    </row>
    <row r="43">
      <c r="A43" s="40">
        <v>46031.0</v>
      </c>
      <c r="B43" s="4" t="s">
        <v>358</v>
      </c>
      <c r="C43" s="4" t="s">
        <v>558</v>
      </c>
      <c r="D43" s="15" t="s">
        <v>53</v>
      </c>
      <c r="E43" s="15">
        <v>2.0</v>
      </c>
      <c r="V43" s="43">
        <f>IFERROR(__xludf.DUMMYFUNCTION("""COMPUTED_VALUE"""),46062.0)</f>
        <v>46062</v>
      </c>
      <c r="W43" s="44">
        <f>IFERROR(__xludf.DUMMYFUNCTION("""COMPUTED_VALUE"""),0.9166666666666667)</f>
        <v>0.9166666667</v>
      </c>
      <c r="X43" s="44">
        <f>IFERROR(__xludf.DUMMYFUNCTION("""COMPUTED_VALUE"""),2.25)</f>
        <v>2.25</v>
      </c>
      <c r="Y43" s="44">
        <f>IFERROR(__xludf.DUMMYFUNCTION("""COMPUTED_VALUE"""),2.5)</f>
        <v>2.5</v>
      </c>
      <c r="Z43" s="44">
        <f>IFERROR(__xludf.DUMMYFUNCTION("""COMPUTED_VALUE"""),3.25)</f>
        <v>3.25</v>
      </c>
      <c r="AU43" s="43">
        <v>46064.0</v>
      </c>
      <c r="AX43" s="15" t="s">
        <v>86</v>
      </c>
      <c r="BB43" s="43">
        <f>IFERROR(__xludf.DUMMYFUNCTION("""COMPUTED_VALUE"""),46064.0)</f>
        <v>46064</v>
      </c>
      <c r="BC43" s="44">
        <f>IFERROR(__xludf.DUMMYFUNCTION("""COMPUTED_VALUE"""),2.8333333333333335)</f>
        <v>2.833333333</v>
      </c>
      <c r="BD43" s="44">
        <f>IFERROR(__xludf.DUMMYFUNCTION("""COMPUTED_VALUE"""),0.5)</f>
        <v>0.5</v>
      </c>
      <c r="BE43" s="44">
        <f>IFERROR(__xludf.DUMMYFUNCTION("""COMPUTED_VALUE"""),3.0)</f>
        <v>3</v>
      </c>
      <c r="BF43" s="44">
        <f>IFERROR(__xludf.DUMMYFUNCTION("""COMPUTED_VALUE"""),2.75)</f>
        <v>2.75</v>
      </c>
    </row>
    <row r="44">
      <c r="A44" s="40">
        <v>46031.0</v>
      </c>
      <c r="B44" s="4" t="s">
        <v>192</v>
      </c>
      <c r="C44" s="4" t="s">
        <v>291</v>
      </c>
      <c r="D44" s="15" t="s">
        <v>93</v>
      </c>
      <c r="E44" s="15">
        <v>1.5</v>
      </c>
      <c r="V44" s="43">
        <f>IFERROR(__xludf.DUMMYFUNCTION("""COMPUTED_VALUE"""),46063.0)</f>
        <v>46063</v>
      </c>
      <c r="W44" s="44">
        <f>IFERROR(__xludf.DUMMYFUNCTION("""COMPUTED_VALUE"""),0.9166666666666667)</f>
        <v>0.9166666667</v>
      </c>
      <c r="X44" s="44">
        <f>IFERROR(__xludf.DUMMYFUNCTION("""COMPUTED_VALUE"""),1.5)</f>
        <v>1.5</v>
      </c>
      <c r="Y44" s="44">
        <f>IFERROR(__xludf.DUMMYFUNCTION("""COMPUTED_VALUE"""),4.0)</f>
        <v>4</v>
      </c>
      <c r="Z44" s="44">
        <f>IFERROR(__xludf.DUMMYFUNCTION("""COMPUTED_VALUE"""),1.0)</f>
        <v>1</v>
      </c>
      <c r="AU44" s="43">
        <v>46065.0</v>
      </c>
      <c r="AX44" s="15" t="s">
        <v>86</v>
      </c>
      <c r="BB44" s="43">
        <f>IFERROR(__xludf.DUMMYFUNCTION("""COMPUTED_VALUE"""),46065.0)</f>
        <v>46065</v>
      </c>
      <c r="BC44" s="44">
        <f>IFERROR(__xludf.DUMMYFUNCTION("""COMPUTED_VALUE"""),1.0)</f>
        <v>1</v>
      </c>
      <c r="BD44" s="44">
        <f>IFERROR(__xludf.DUMMYFUNCTION("""COMPUTED_VALUE"""),1.5)</f>
        <v>1.5</v>
      </c>
      <c r="BE44" s="44">
        <f>IFERROR(__xludf.DUMMYFUNCTION("""COMPUTED_VALUE"""),4.25)</f>
        <v>4.25</v>
      </c>
      <c r="BF44" s="44">
        <f>IFERROR(__xludf.DUMMYFUNCTION("""COMPUTED_VALUE"""),1.5)</f>
        <v>1.5</v>
      </c>
    </row>
    <row r="45">
      <c r="A45" s="40">
        <v>46031.0</v>
      </c>
      <c r="B45" s="4" t="s">
        <v>176</v>
      </c>
      <c r="C45" s="4" t="s">
        <v>259</v>
      </c>
      <c r="D45" s="15" t="s">
        <v>93</v>
      </c>
      <c r="E45" s="15">
        <v>1.0</v>
      </c>
      <c r="V45" s="43">
        <f>IFERROR(__xludf.DUMMYFUNCTION("""COMPUTED_VALUE"""),46064.0)</f>
        <v>46064</v>
      </c>
      <c r="W45" s="44">
        <f>IFERROR(__xludf.DUMMYFUNCTION("""COMPUTED_VALUE"""),2.8333333333333335)</f>
        <v>2.833333333</v>
      </c>
      <c r="X45" s="44">
        <f>IFERROR(__xludf.DUMMYFUNCTION("""COMPUTED_VALUE"""),0.5)</f>
        <v>0.5</v>
      </c>
      <c r="Y45" s="44">
        <f>IFERROR(__xludf.DUMMYFUNCTION("""COMPUTED_VALUE"""),3.0)</f>
        <v>3</v>
      </c>
      <c r="Z45" s="44">
        <f>IFERROR(__xludf.DUMMYFUNCTION("""COMPUTED_VALUE"""),2.75)</f>
        <v>2.75</v>
      </c>
      <c r="AU45" s="43">
        <v>46066.0</v>
      </c>
      <c r="AX45" s="15" t="s">
        <v>86</v>
      </c>
      <c r="BB45" s="43">
        <f>IFERROR(__xludf.DUMMYFUNCTION("""COMPUTED_VALUE"""),46066.0)</f>
        <v>46066</v>
      </c>
      <c r="BC45" s="44">
        <f>IFERROR(__xludf.DUMMYFUNCTION("""COMPUTED_VALUE"""),2.5)</f>
        <v>2.5</v>
      </c>
      <c r="BD45" s="44">
        <f>IFERROR(__xludf.DUMMYFUNCTION("""COMPUTED_VALUE"""),2.5)</f>
        <v>2.5</v>
      </c>
      <c r="BE45" s="44">
        <f>IFERROR(__xludf.DUMMYFUNCTION("""COMPUTED_VALUE"""),2.75)</f>
        <v>2.75</v>
      </c>
      <c r="BF45" s="44">
        <f>IFERROR(__xludf.DUMMYFUNCTION("""COMPUTED_VALUE"""),2.5)</f>
        <v>2.5</v>
      </c>
    </row>
    <row r="46">
      <c r="A46" s="40">
        <v>46031.0</v>
      </c>
      <c r="B46" s="4" t="s">
        <v>218</v>
      </c>
      <c r="C46" s="4" t="s">
        <v>194</v>
      </c>
      <c r="D46" s="15" t="s">
        <v>53</v>
      </c>
      <c r="E46" s="15">
        <v>0.5</v>
      </c>
      <c r="V46" s="43">
        <f>IFERROR(__xludf.DUMMYFUNCTION("""COMPUTED_VALUE"""),46065.0)</f>
        <v>46065</v>
      </c>
      <c r="W46" s="44">
        <f>IFERROR(__xludf.DUMMYFUNCTION("""COMPUTED_VALUE"""),1.0)</f>
        <v>1</v>
      </c>
      <c r="X46" s="44">
        <f>IFERROR(__xludf.DUMMYFUNCTION("""COMPUTED_VALUE"""),1.5)</f>
        <v>1.5</v>
      </c>
      <c r="Y46" s="44">
        <f>IFERROR(__xludf.DUMMYFUNCTION("""COMPUTED_VALUE"""),4.25)</f>
        <v>4.25</v>
      </c>
      <c r="Z46" s="44">
        <f>IFERROR(__xludf.DUMMYFUNCTION("""COMPUTED_VALUE"""),1.5)</f>
        <v>1.5</v>
      </c>
      <c r="AU46" s="43">
        <v>46067.0</v>
      </c>
      <c r="AX46" s="15" t="s">
        <v>86</v>
      </c>
      <c r="BB46" s="43">
        <f>IFERROR(__xludf.DUMMYFUNCTION("""COMPUTED_VALUE"""),46067.0)</f>
        <v>46067</v>
      </c>
      <c r="BC46" s="44"/>
      <c r="BD46" s="44"/>
      <c r="BE46" s="44"/>
      <c r="BF46" s="44"/>
    </row>
    <row r="47">
      <c r="A47" s="40">
        <v>46031.0</v>
      </c>
      <c r="B47" s="4" t="s">
        <v>358</v>
      </c>
      <c r="C47" s="4" t="s">
        <v>291</v>
      </c>
      <c r="D47" s="15" t="s">
        <v>53</v>
      </c>
      <c r="E47" s="15">
        <v>1.5</v>
      </c>
      <c r="V47" s="43">
        <f>IFERROR(__xludf.DUMMYFUNCTION("""COMPUTED_VALUE"""),46066.0)</f>
        <v>46066</v>
      </c>
      <c r="W47" s="44">
        <f>IFERROR(__xludf.DUMMYFUNCTION("""COMPUTED_VALUE"""),2.5)</f>
        <v>2.5</v>
      </c>
      <c r="X47" s="44">
        <f>IFERROR(__xludf.DUMMYFUNCTION("""COMPUTED_VALUE"""),2.5)</f>
        <v>2.5</v>
      </c>
      <c r="Y47" s="44">
        <f>IFERROR(__xludf.DUMMYFUNCTION("""COMPUTED_VALUE"""),2.75)</f>
        <v>2.75</v>
      </c>
      <c r="Z47" s="44">
        <f>IFERROR(__xludf.DUMMYFUNCTION("""COMPUTED_VALUE"""),2.5)</f>
        <v>2.5</v>
      </c>
      <c r="AU47" s="43">
        <v>46068.0</v>
      </c>
      <c r="AX47" s="15" t="s">
        <v>86</v>
      </c>
      <c r="BB47" s="43">
        <f>IFERROR(__xludf.DUMMYFUNCTION("""COMPUTED_VALUE"""),46068.0)</f>
        <v>46068</v>
      </c>
      <c r="BC47" s="44"/>
      <c r="BD47" s="44"/>
      <c r="BE47" s="44"/>
      <c r="BF47" s="44"/>
    </row>
    <row r="48">
      <c r="A48" s="40">
        <v>46029.0</v>
      </c>
      <c r="B48" s="4" t="s">
        <v>186</v>
      </c>
      <c r="C48" s="4" t="s">
        <v>194</v>
      </c>
      <c r="D48" s="15" t="s">
        <v>93</v>
      </c>
      <c r="E48" s="15">
        <v>0.5</v>
      </c>
      <c r="V48" s="43">
        <f>IFERROR(__xludf.DUMMYFUNCTION("""COMPUTED_VALUE"""),46067.0)</f>
        <v>46067</v>
      </c>
      <c r="W48" s="44"/>
      <c r="X48" s="44"/>
      <c r="Y48" s="44"/>
      <c r="Z48" s="44"/>
      <c r="AU48" s="43">
        <v>46069.0</v>
      </c>
      <c r="AX48" s="15" t="s">
        <v>86</v>
      </c>
      <c r="BB48" s="43">
        <f>IFERROR(__xludf.DUMMYFUNCTION("""COMPUTED_VALUE"""),46069.0)</f>
        <v>46069</v>
      </c>
      <c r="BC48" s="44">
        <f>IFERROR(__xludf.DUMMYFUNCTION("""COMPUTED_VALUE"""),0.9166666666666667)</f>
        <v>0.9166666667</v>
      </c>
      <c r="BD48" s="44">
        <f>IFERROR(__xludf.DUMMYFUNCTION("""COMPUTED_VALUE"""),3.5)</f>
        <v>3.5</v>
      </c>
      <c r="BE48" s="44">
        <f>IFERROR(__xludf.DUMMYFUNCTION("""COMPUTED_VALUE"""),2.25)</f>
        <v>2.25</v>
      </c>
      <c r="BF48" s="44">
        <f>IFERROR(__xludf.DUMMYFUNCTION("""COMPUTED_VALUE"""),4.5)</f>
        <v>4.5</v>
      </c>
    </row>
    <row r="49">
      <c r="A49" s="40">
        <v>46034.0</v>
      </c>
      <c r="B49" s="4" t="s">
        <v>205</v>
      </c>
      <c r="C49" s="4" t="s">
        <v>194</v>
      </c>
      <c r="D49" s="15" t="s">
        <v>53</v>
      </c>
      <c r="E49" s="15">
        <v>0.5</v>
      </c>
      <c r="V49" s="43">
        <f>IFERROR(__xludf.DUMMYFUNCTION("""COMPUTED_VALUE"""),46068.0)</f>
        <v>46068</v>
      </c>
      <c r="W49" s="44"/>
      <c r="X49" s="44"/>
      <c r="Y49" s="44"/>
      <c r="Z49" s="44"/>
      <c r="AU49" s="43">
        <v>46070.0</v>
      </c>
      <c r="AX49" s="15" t="s">
        <v>86</v>
      </c>
      <c r="BB49" s="43">
        <f>IFERROR(__xludf.DUMMYFUNCTION("""COMPUTED_VALUE"""),46070.0)</f>
        <v>46070</v>
      </c>
      <c r="BC49" s="44">
        <f>IFERROR(__xludf.DUMMYFUNCTION("""COMPUTED_VALUE"""),2.0)</f>
        <v>2</v>
      </c>
      <c r="BD49" s="44"/>
      <c r="BE49" s="44">
        <f>IFERROR(__xludf.DUMMYFUNCTION("""COMPUTED_VALUE"""),1.75)</f>
        <v>1.75</v>
      </c>
      <c r="BF49" s="44">
        <f>IFERROR(__xludf.DUMMYFUNCTION("""COMPUTED_VALUE"""),4.0)</f>
        <v>4</v>
      </c>
    </row>
    <row r="50">
      <c r="A50" s="40">
        <v>46034.0</v>
      </c>
      <c r="B50" s="4" t="s">
        <v>208</v>
      </c>
      <c r="C50" s="4" t="s">
        <v>194</v>
      </c>
      <c r="D50" s="15" t="s">
        <v>53</v>
      </c>
      <c r="E50" s="15">
        <v>0.5</v>
      </c>
      <c r="V50" s="43">
        <f>IFERROR(__xludf.DUMMYFUNCTION("""COMPUTED_VALUE"""),46069.0)</f>
        <v>46069</v>
      </c>
      <c r="W50" s="44">
        <f>IFERROR(__xludf.DUMMYFUNCTION("""COMPUTED_VALUE"""),0.9166666666666667)</f>
        <v>0.9166666667</v>
      </c>
      <c r="X50" s="44">
        <f>IFERROR(__xludf.DUMMYFUNCTION("""COMPUTED_VALUE"""),3.5)</f>
        <v>3.5</v>
      </c>
      <c r="Y50" s="44">
        <f>IFERROR(__xludf.DUMMYFUNCTION("""COMPUTED_VALUE"""),2.25)</f>
        <v>2.25</v>
      </c>
      <c r="Z50" s="44">
        <f>IFERROR(__xludf.DUMMYFUNCTION("""COMPUTED_VALUE"""),4.5)</f>
        <v>4.5</v>
      </c>
      <c r="AU50" s="43">
        <v>46071.0</v>
      </c>
      <c r="AX50" s="15" t="s">
        <v>86</v>
      </c>
      <c r="BB50" s="43">
        <f>IFERROR(__xludf.DUMMYFUNCTION("""COMPUTED_VALUE"""),46071.0)</f>
        <v>46071</v>
      </c>
      <c r="BC50" s="44">
        <f>IFERROR(__xludf.DUMMYFUNCTION("""COMPUTED_VALUE"""),3.0)</f>
        <v>3</v>
      </c>
      <c r="BD50" s="44">
        <f>IFERROR(__xludf.DUMMYFUNCTION("""COMPUTED_VALUE"""),2.5)</f>
        <v>2.5</v>
      </c>
      <c r="BE50" s="44">
        <f>IFERROR(__xludf.DUMMYFUNCTION("""COMPUTED_VALUE"""),2.5)</f>
        <v>2.5</v>
      </c>
      <c r="BF50" s="44">
        <f>IFERROR(__xludf.DUMMYFUNCTION("""COMPUTED_VALUE"""),2.5)</f>
        <v>2.5</v>
      </c>
    </row>
    <row r="51">
      <c r="A51" s="40">
        <v>46034.0</v>
      </c>
      <c r="B51" s="4" t="s">
        <v>230</v>
      </c>
      <c r="C51" s="4" t="s">
        <v>194</v>
      </c>
      <c r="D51" s="15" t="s">
        <v>53</v>
      </c>
      <c r="E51" s="15">
        <v>0.5</v>
      </c>
      <c r="V51" s="43">
        <f>IFERROR(__xludf.DUMMYFUNCTION("""COMPUTED_VALUE"""),46070.0)</f>
        <v>46070</v>
      </c>
      <c r="W51" s="44">
        <f>IFERROR(__xludf.DUMMYFUNCTION("""COMPUTED_VALUE"""),2.0)</f>
        <v>2</v>
      </c>
      <c r="X51" s="44"/>
      <c r="Y51" s="44">
        <f>IFERROR(__xludf.DUMMYFUNCTION("""COMPUTED_VALUE"""),1.75)</f>
        <v>1.75</v>
      </c>
      <c r="Z51" s="44">
        <f>IFERROR(__xludf.DUMMYFUNCTION("""COMPUTED_VALUE"""),4.0)</f>
        <v>4</v>
      </c>
      <c r="AU51" s="43">
        <v>46072.0</v>
      </c>
      <c r="AX51" s="15" t="s">
        <v>86</v>
      </c>
      <c r="BB51" s="43">
        <f>IFERROR(__xludf.DUMMYFUNCTION("""COMPUTED_VALUE"""),46072.0)</f>
        <v>46072</v>
      </c>
      <c r="BC51" s="44">
        <f>IFERROR(__xludf.DUMMYFUNCTION("""COMPUTED_VALUE"""),0.9166666666666667)</f>
        <v>0.9166666667</v>
      </c>
      <c r="BD51" s="44">
        <f>IFERROR(__xludf.DUMMYFUNCTION("""COMPUTED_VALUE"""),1.5)</f>
        <v>1.5</v>
      </c>
      <c r="BE51" s="44">
        <f>IFERROR(__xludf.DUMMYFUNCTION("""COMPUTED_VALUE"""),4.25)</f>
        <v>4.25</v>
      </c>
      <c r="BF51" s="44">
        <f>IFERROR(__xludf.DUMMYFUNCTION("""COMPUTED_VALUE"""),3.0)</f>
        <v>3</v>
      </c>
    </row>
    <row r="52">
      <c r="A52" s="40">
        <v>46034.0</v>
      </c>
      <c r="B52" s="4" t="s">
        <v>192</v>
      </c>
      <c r="C52" s="4" t="s">
        <v>194</v>
      </c>
      <c r="D52" s="15" t="s">
        <v>93</v>
      </c>
      <c r="E52" s="15">
        <v>0.5</v>
      </c>
      <c r="V52" s="43">
        <f>IFERROR(__xludf.DUMMYFUNCTION("""COMPUTED_VALUE"""),46071.0)</f>
        <v>46071</v>
      </c>
      <c r="W52" s="44">
        <f>IFERROR(__xludf.DUMMYFUNCTION("""COMPUTED_VALUE"""),3.0)</f>
        <v>3</v>
      </c>
      <c r="X52" s="44">
        <f>IFERROR(__xludf.DUMMYFUNCTION("""COMPUTED_VALUE"""),2.5)</f>
        <v>2.5</v>
      </c>
      <c r="Y52" s="44">
        <f>IFERROR(__xludf.DUMMYFUNCTION("""COMPUTED_VALUE"""),2.5)</f>
        <v>2.5</v>
      </c>
      <c r="Z52" s="44">
        <f>IFERROR(__xludf.DUMMYFUNCTION("""COMPUTED_VALUE"""),2.5)</f>
        <v>2.5</v>
      </c>
      <c r="AU52" s="43">
        <v>46073.0</v>
      </c>
      <c r="AX52" s="15" t="s">
        <v>86</v>
      </c>
      <c r="BB52" s="43">
        <f>IFERROR(__xludf.DUMMYFUNCTION("""COMPUTED_VALUE"""),46073.0)</f>
        <v>46073</v>
      </c>
      <c r="BC52" s="44">
        <f>IFERROR(__xludf.DUMMYFUNCTION("""COMPUTED_VALUE"""),2.0)</f>
        <v>2</v>
      </c>
      <c r="BD52" s="44">
        <f>IFERROR(__xludf.DUMMYFUNCTION("""COMPUTED_VALUE"""),1.5)</f>
        <v>1.5</v>
      </c>
      <c r="BE52" s="44">
        <f>IFERROR(__xludf.DUMMYFUNCTION("""COMPUTED_VALUE"""),1.75)</f>
        <v>1.75</v>
      </c>
      <c r="BF52" s="44">
        <f>IFERROR(__xludf.DUMMYFUNCTION("""COMPUTED_VALUE"""),3.0)</f>
        <v>3</v>
      </c>
    </row>
    <row r="53">
      <c r="A53" s="40">
        <v>46034.0</v>
      </c>
      <c r="B53" s="4" t="s">
        <v>31</v>
      </c>
      <c r="C53" s="4" t="s">
        <v>558</v>
      </c>
      <c r="D53" s="15" t="s">
        <v>38</v>
      </c>
      <c r="E53" s="15">
        <v>2.0</v>
      </c>
      <c r="V53" s="43">
        <f>IFERROR(__xludf.DUMMYFUNCTION("""COMPUTED_VALUE"""),46072.0)</f>
        <v>46072</v>
      </c>
      <c r="W53" s="44">
        <f>IFERROR(__xludf.DUMMYFUNCTION("""COMPUTED_VALUE"""),0.9166666666666667)</f>
        <v>0.9166666667</v>
      </c>
      <c r="X53" s="44">
        <f>IFERROR(__xludf.DUMMYFUNCTION("""COMPUTED_VALUE"""),1.5)</f>
        <v>1.5</v>
      </c>
      <c r="Y53" s="44">
        <f>IFERROR(__xludf.DUMMYFUNCTION("""COMPUTED_VALUE"""),4.25)</f>
        <v>4.25</v>
      </c>
      <c r="Z53" s="44">
        <f>IFERROR(__xludf.DUMMYFUNCTION("""COMPUTED_VALUE"""),3.0)</f>
        <v>3</v>
      </c>
      <c r="AU53" s="43">
        <v>46074.0</v>
      </c>
      <c r="AX53" s="15" t="s">
        <v>86</v>
      </c>
      <c r="BB53" s="43">
        <f>IFERROR(__xludf.DUMMYFUNCTION("""COMPUTED_VALUE"""),46074.0)</f>
        <v>46074</v>
      </c>
      <c r="BC53" s="44"/>
      <c r="BD53" s="44"/>
      <c r="BE53" s="44"/>
      <c r="BF53" s="44"/>
    </row>
    <row r="54">
      <c r="A54" s="40">
        <v>46034.0</v>
      </c>
      <c r="B54" s="4" t="s">
        <v>176</v>
      </c>
      <c r="C54" s="4" t="s">
        <v>194</v>
      </c>
      <c r="D54" s="15" t="s">
        <v>93</v>
      </c>
      <c r="E54" s="15">
        <v>0.5</v>
      </c>
      <c r="V54" s="43">
        <f>IFERROR(__xludf.DUMMYFUNCTION("""COMPUTED_VALUE"""),46073.0)</f>
        <v>46073</v>
      </c>
      <c r="W54" s="44">
        <f>IFERROR(__xludf.DUMMYFUNCTION("""COMPUTED_VALUE"""),2.0)</f>
        <v>2</v>
      </c>
      <c r="X54" s="44">
        <f>IFERROR(__xludf.DUMMYFUNCTION("""COMPUTED_VALUE"""),1.5)</f>
        <v>1.5</v>
      </c>
      <c r="Y54" s="44">
        <f>IFERROR(__xludf.DUMMYFUNCTION("""COMPUTED_VALUE"""),1.75)</f>
        <v>1.75</v>
      </c>
      <c r="Z54" s="44">
        <f>IFERROR(__xludf.DUMMYFUNCTION("""COMPUTED_VALUE"""),3.0)</f>
        <v>3</v>
      </c>
      <c r="AU54" s="43">
        <v>46075.0</v>
      </c>
      <c r="AX54" s="15" t="s">
        <v>86</v>
      </c>
      <c r="BB54" s="43">
        <f>IFERROR(__xludf.DUMMYFUNCTION("""COMPUTED_VALUE"""),46075.0)</f>
        <v>46075</v>
      </c>
      <c r="BC54" s="44"/>
      <c r="BD54" s="44"/>
      <c r="BE54" s="44"/>
      <c r="BF54" s="44"/>
    </row>
    <row r="55">
      <c r="A55" s="40">
        <v>46034.0</v>
      </c>
      <c r="B55" s="4" t="s">
        <v>522</v>
      </c>
      <c r="C55" s="4" t="s">
        <v>291</v>
      </c>
      <c r="D55" s="15" t="s">
        <v>53</v>
      </c>
      <c r="E55" s="15">
        <v>1.5</v>
      </c>
      <c r="V55" s="43">
        <f>IFERROR(__xludf.DUMMYFUNCTION("""COMPUTED_VALUE"""),46074.0)</f>
        <v>46074</v>
      </c>
      <c r="W55" s="44"/>
      <c r="X55" s="44"/>
      <c r="Y55" s="44"/>
      <c r="Z55" s="44"/>
      <c r="AU55" s="43">
        <v>46076.0</v>
      </c>
      <c r="AX55" s="15" t="s">
        <v>86</v>
      </c>
      <c r="BB55" s="43">
        <f>IFERROR(__xludf.DUMMYFUNCTION("""COMPUTED_VALUE"""),46076.0)</f>
        <v>46076</v>
      </c>
      <c r="BC55" s="44">
        <f>IFERROR(__xludf.DUMMYFUNCTION("""COMPUTED_VALUE"""),1.0)</f>
        <v>1</v>
      </c>
      <c r="BD55" s="44">
        <f>IFERROR(__xludf.DUMMYFUNCTION("""COMPUTED_VALUE"""),2.5)</f>
        <v>2.5</v>
      </c>
      <c r="BE55" s="44">
        <f>IFERROR(__xludf.DUMMYFUNCTION("""COMPUTED_VALUE"""),3.0)</f>
        <v>3</v>
      </c>
      <c r="BF55" s="44">
        <f>IFERROR(__xludf.DUMMYFUNCTION("""COMPUTED_VALUE"""),2.25)</f>
        <v>2.25</v>
      </c>
    </row>
    <row r="56">
      <c r="A56" s="40">
        <v>46034.0</v>
      </c>
      <c r="B56" s="4" t="s">
        <v>552</v>
      </c>
      <c r="C56" s="4" t="s">
        <v>291</v>
      </c>
      <c r="D56" s="15" t="s">
        <v>93</v>
      </c>
      <c r="E56" s="15">
        <v>1.5</v>
      </c>
      <c r="V56" s="43">
        <f>IFERROR(__xludf.DUMMYFUNCTION("""COMPUTED_VALUE"""),46075.0)</f>
        <v>46075</v>
      </c>
      <c r="W56" s="44"/>
      <c r="X56" s="44"/>
      <c r="Y56" s="44"/>
      <c r="Z56" s="44"/>
      <c r="AU56" s="43">
        <v>46077.0</v>
      </c>
      <c r="AX56" s="15" t="s">
        <v>86</v>
      </c>
      <c r="BB56" s="43">
        <f>IFERROR(__xludf.DUMMYFUNCTION("""COMPUTED_VALUE"""),46077.0)</f>
        <v>46077</v>
      </c>
      <c r="BC56" s="44">
        <f>IFERROR(__xludf.DUMMYFUNCTION("""COMPUTED_VALUE"""),3.5)</f>
        <v>3.5</v>
      </c>
      <c r="BD56" s="44">
        <f>IFERROR(__xludf.DUMMYFUNCTION("""COMPUTED_VALUE"""),1.0)</f>
        <v>1</v>
      </c>
      <c r="BE56" s="44">
        <f>IFERROR(__xludf.DUMMYFUNCTION("""COMPUTED_VALUE"""),2.25)</f>
        <v>2.25</v>
      </c>
      <c r="BF56" s="44">
        <f>IFERROR(__xludf.DUMMYFUNCTION("""COMPUTED_VALUE"""),3.25)</f>
        <v>3.25</v>
      </c>
    </row>
    <row r="57">
      <c r="A57" s="40">
        <v>46035.0</v>
      </c>
      <c r="B57" s="4" t="s">
        <v>170</v>
      </c>
      <c r="C57" s="4" t="s">
        <v>194</v>
      </c>
      <c r="D57" s="15" t="s">
        <v>93</v>
      </c>
      <c r="E57" s="15">
        <v>0.5</v>
      </c>
      <c r="V57" s="43">
        <f>IFERROR(__xludf.DUMMYFUNCTION("""COMPUTED_VALUE"""),46076.0)</f>
        <v>46076</v>
      </c>
      <c r="W57" s="44">
        <f>IFERROR(__xludf.DUMMYFUNCTION("""COMPUTED_VALUE"""),1.0)</f>
        <v>1</v>
      </c>
      <c r="X57" s="44">
        <f>IFERROR(__xludf.DUMMYFUNCTION("""COMPUTED_VALUE"""),2.5)</f>
        <v>2.5</v>
      </c>
      <c r="Y57" s="44">
        <f>IFERROR(__xludf.DUMMYFUNCTION("""COMPUTED_VALUE"""),3.0)</f>
        <v>3</v>
      </c>
      <c r="Z57" s="44">
        <f>IFERROR(__xludf.DUMMYFUNCTION("""COMPUTED_VALUE"""),2.25)</f>
        <v>2.25</v>
      </c>
      <c r="AU57" s="43">
        <v>46078.0</v>
      </c>
      <c r="AX57" s="15" t="s">
        <v>86</v>
      </c>
      <c r="BB57" s="43">
        <f>IFERROR(__xludf.DUMMYFUNCTION("""COMPUTED_VALUE"""),46078.0)</f>
        <v>46078</v>
      </c>
      <c r="BC57" s="44">
        <f>IFERROR(__xludf.DUMMYFUNCTION("""COMPUTED_VALUE"""),1.0)</f>
        <v>1</v>
      </c>
      <c r="BD57" s="44">
        <f>IFERROR(__xludf.DUMMYFUNCTION("""COMPUTED_VALUE"""),2.0)</f>
        <v>2</v>
      </c>
      <c r="BE57" s="44"/>
      <c r="BF57" s="44">
        <f>IFERROR(__xludf.DUMMYFUNCTION("""COMPUTED_VALUE"""),2.75)</f>
        <v>2.75</v>
      </c>
    </row>
    <row r="58">
      <c r="A58" s="40">
        <v>46035.0</v>
      </c>
      <c r="B58" s="4" t="s">
        <v>192</v>
      </c>
      <c r="C58" s="4" t="s">
        <v>194</v>
      </c>
      <c r="D58" s="15" t="s">
        <v>93</v>
      </c>
      <c r="E58" s="15">
        <v>0.5</v>
      </c>
      <c r="V58" s="43">
        <f>IFERROR(__xludf.DUMMYFUNCTION("""COMPUTED_VALUE"""),46077.0)</f>
        <v>46077</v>
      </c>
      <c r="W58" s="44">
        <f>IFERROR(__xludf.DUMMYFUNCTION("""COMPUTED_VALUE"""),3.5)</f>
        <v>3.5</v>
      </c>
      <c r="X58" s="44">
        <f>IFERROR(__xludf.DUMMYFUNCTION("""COMPUTED_VALUE"""),1.0)</f>
        <v>1</v>
      </c>
      <c r="Y58" s="44">
        <f>IFERROR(__xludf.DUMMYFUNCTION("""COMPUTED_VALUE"""),2.25)</f>
        <v>2.25</v>
      </c>
      <c r="Z58" s="44">
        <f>IFERROR(__xludf.DUMMYFUNCTION("""COMPUTED_VALUE"""),3.25)</f>
        <v>3.25</v>
      </c>
      <c r="AU58" s="43">
        <v>46079.0</v>
      </c>
      <c r="AX58" s="15" t="s">
        <v>86</v>
      </c>
      <c r="BB58" s="43">
        <f>IFERROR(__xludf.DUMMYFUNCTION("""COMPUTED_VALUE"""),46079.0)</f>
        <v>46079</v>
      </c>
      <c r="BC58" s="44">
        <f>IFERROR(__xludf.DUMMYFUNCTION("""COMPUTED_VALUE"""),2.5)</f>
        <v>2.5</v>
      </c>
      <c r="BD58" s="44">
        <f>IFERROR(__xludf.DUMMYFUNCTION("""COMPUTED_VALUE"""),1.5)</f>
        <v>1.5</v>
      </c>
      <c r="BE58" s="44">
        <f>IFERROR(__xludf.DUMMYFUNCTION("""COMPUTED_VALUE"""),2.75)</f>
        <v>2.75</v>
      </c>
      <c r="BF58" s="44">
        <f>IFERROR(__xludf.DUMMYFUNCTION("""COMPUTED_VALUE"""),1.0)</f>
        <v>1</v>
      </c>
    </row>
    <row r="59">
      <c r="A59" s="40">
        <v>46035.0</v>
      </c>
      <c r="B59" s="4" t="s">
        <v>31</v>
      </c>
      <c r="C59" s="4" t="s">
        <v>194</v>
      </c>
      <c r="D59" s="15" t="s">
        <v>38</v>
      </c>
      <c r="E59" s="15">
        <v>0.5</v>
      </c>
      <c r="V59" s="43">
        <f>IFERROR(__xludf.DUMMYFUNCTION("""COMPUTED_VALUE"""),46078.0)</f>
        <v>46078</v>
      </c>
      <c r="W59" s="44">
        <f>IFERROR(__xludf.DUMMYFUNCTION("""COMPUTED_VALUE"""),1.0)</f>
        <v>1</v>
      </c>
      <c r="X59" s="44">
        <f>IFERROR(__xludf.DUMMYFUNCTION("""COMPUTED_VALUE"""),2.0)</f>
        <v>2</v>
      </c>
      <c r="Y59" s="44"/>
      <c r="Z59" s="44">
        <f>IFERROR(__xludf.DUMMYFUNCTION("""COMPUTED_VALUE"""),2.75)</f>
        <v>2.75</v>
      </c>
      <c r="AU59" s="43">
        <v>46080.0</v>
      </c>
      <c r="AX59" s="15" t="s">
        <v>86</v>
      </c>
      <c r="BB59" s="43">
        <f>IFERROR(__xludf.DUMMYFUNCTION("""COMPUTED_VALUE"""),46080.0)</f>
        <v>46080</v>
      </c>
      <c r="BC59" s="44">
        <f>IFERROR(__xludf.DUMMYFUNCTION("""COMPUTED_VALUE"""),0.5)</f>
        <v>0.5</v>
      </c>
      <c r="BD59" s="44"/>
      <c r="BE59" s="44">
        <f>IFERROR(__xludf.DUMMYFUNCTION("""COMPUTED_VALUE"""),6.0)</f>
        <v>6</v>
      </c>
      <c r="BF59" s="44">
        <f>IFERROR(__xludf.DUMMYFUNCTION("""COMPUTED_VALUE"""),2.0)</f>
        <v>2</v>
      </c>
    </row>
    <row r="60">
      <c r="A60" s="40">
        <v>46035.0</v>
      </c>
      <c r="B60" s="4" t="s">
        <v>205</v>
      </c>
      <c r="C60" s="4" t="s">
        <v>194</v>
      </c>
      <c r="D60" s="15" t="s">
        <v>53</v>
      </c>
      <c r="E60" s="15">
        <v>0.5</v>
      </c>
      <c r="V60" s="43">
        <f>IFERROR(__xludf.DUMMYFUNCTION("""COMPUTED_VALUE"""),46079.0)</f>
        <v>46079</v>
      </c>
      <c r="W60" s="44">
        <f>IFERROR(__xludf.DUMMYFUNCTION("""COMPUTED_VALUE"""),2.5)</f>
        <v>2.5</v>
      </c>
      <c r="X60" s="44">
        <f>IFERROR(__xludf.DUMMYFUNCTION("""COMPUTED_VALUE"""),1.5)</f>
        <v>1.5</v>
      </c>
      <c r="Y60" s="44">
        <f>IFERROR(__xludf.DUMMYFUNCTION("""COMPUTED_VALUE"""),2.75)</f>
        <v>2.75</v>
      </c>
      <c r="Z60" s="44">
        <f>IFERROR(__xludf.DUMMYFUNCTION("""COMPUTED_VALUE"""),1.0)</f>
        <v>1</v>
      </c>
      <c r="AU60" s="43">
        <v>46081.0</v>
      </c>
      <c r="AX60" s="15" t="s">
        <v>86</v>
      </c>
      <c r="BB60" s="43">
        <f>IFERROR(__xludf.DUMMYFUNCTION("""COMPUTED_VALUE"""),46081.0)</f>
        <v>46081</v>
      </c>
      <c r="BC60" s="44"/>
      <c r="BD60" s="44"/>
      <c r="BE60" s="44"/>
      <c r="BF60" s="44"/>
    </row>
    <row r="61">
      <c r="A61" s="40">
        <v>46035.0</v>
      </c>
      <c r="B61" s="4" t="s">
        <v>58</v>
      </c>
      <c r="C61" s="4" t="s">
        <v>259</v>
      </c>
      <c r="D61" s="15" t="s">
        <v>38</v>
      </c>
      <c r="E61" s="15">
        <v>1.0</v>
      </c>
      <c r="V61" s="43">
        <f>IFERROR(__xludf.DUMMYFUNCTION("""COMPUTED_VALUE"""),46080.0)</f>
        <v>46080</v>
      </c>
      <c r="W61" s="44">
        <f>IFERROR(__xludf.DUMMYFUNCTION("""COMPUTED_VALUE"""),0.5)</f>
        <v>0.5</v>
      </c>
      <c r="X61" s="44"/>
      <c r="Y61" s="44">
        <f>IFERROR(__xludf.DUMMYFUNCTION("""COMPUTED_VALUE"""),6.0)</f>
        <v>6</v>
      </c>
      <c r="Z61" s="44">
        <f>IFERROR(__xludf.DUMMYFUNCTION("""COMPUTED_VALUE"""),2.0)</f>
        <v>2</v>
      </c>
      <c r="AU61" s="43">
        <v>46082.0</v>
      </c>
      <c r="AX61" s="15" t="s">
        <v>86</v>
      </c>
      <c r="BB61" s="43">
        <f>IFERROR(__xludf.DUMMYFUNCTION("""COMPUTED_VALUE"""),46082.0)</f>
        <v>46082</v>
      </c>
      <c r="BC61" s="44"/>
      <c r="BD61" s="44"/>
      <c r="BE61" s="44"/>
      <c r="BF61" s="44"/>
    </row>
    <row r="62">
      <c r="A62" s="40">
        <v>46035.0</v>
      </c>
      <c r="B62" s="4" t="s">
        <v>205</v>
      </c>
      <c r="C62" s="4" t="s">
        <v>259</v>
      </c>
      <c r="D62" s="15" t="s">
        <v>53</v>
      </c>
      <c r="E62" s="15">
        <v>1.0</v>
      </c>
      <c r="V62" s="43">
        <f>IFERROR(__xludf.DUMMYFUNCTION("""COMPUTED_VALUE"""),46081.0)</f>
        <v>46081</v>
      </c>
      <c r="W62" s="44"/>
      <c r="X62" s="44"/>
      <c r="Y62" s="44"/>
      <c r="Z62" s="44"/>
      <c r="AU62" s="43">
        <v>46083.0</v>
      </c>
      <c r="AX62" s="15" t="s">
        <v>86</v>
      </c>
      <c r="BB62" s="43">
        <f>IFERROR(__xludf.DUMMYFUNCTION("""COMPUTED_VALUE"""),46083.0)</f>
        <v>46083</v>
      </c>
      <c r="BC62" s="44">
        <f>IFERROR(__xludf.DUMMYFUNCTION("""COMPUTED_VALUE"""),2.5)</f>
        <v>2.5</v>
      </c>
      <c r="BD62" s="44">
        <f>IFERROR(__xludf.DUMMYFUNCTION("""COMPUTED_VALUE"""),1.5)</f>
        <v>1.5</v>
      </c>
      <c r="BE62" s="44">
        <f>IFERROR(__xludf.DUMMYFUNCTION("""COMPUTED_VALUE"""),1.25)</f>
        <v>1.25</v>
      </c>
      <c r="BF62" s="44">
        <f>IFERROR(__xludf.DUMMYFUNCTION("""COMPUTED_VALUE"""),2.5)</f>
        <v>2.5</v>
      </c>
    </row>
    <row r="63">
      <c r="A63" s="40">
        <v>46035.0</v>
      </c>
      <c r="B63" s="4" t="s">
        <v>48</v>
      </c>
      <c r="C63" s="4" t="s">
        <v>259</v>
      </c>
      <c r="D63" s="15" t="s">
        <v>38</v>
      </c>
      <c r="E63" s="15">
        <v>1.0</v>
      </c>
      <c r="V63" s="43">
        <f>IFERROR(__xludf.DUMMYFUNCTION("""COMPUTED_VALUE"""),46082.0)</f>
        <v>46082</v>
      </c>
      <c r="W63" s="44"/>
      <c r="X63" s="44"/>
      <c r="Y63" s="44"/>
      <c r="Z63" s="44"/>
      <c r="AU63" s="43">
        <v>46084.0</v>
      </c>
      <c r="AX63" s="15" t="s">
        <v>86</v>
      </c>
      <c r="BB63" s="43">
        <f>IFERROR(__xludf.DUMMYFUNCTION("""COMPUTED_VALUE"""),46084.0)</f>
        <v>46084</v>
      </c>
      <c r="BC63" s="44">
        <f>IFERROR(__xludf.DUMMYFUNCTION("""COMPUTED_VALUE"""),3.0)</f>
        <v>3</v>
      </c>
      <c r="BD63" s="44">
        <f>IFERROR(__xludf.DUMMYFUNCTION("""COMPUTED_VALUE"""),1.0)</f>
        <v>1</v>
      </c>
      <c r="BE63" s="44">
        <f>IFERROR(__xludf.DUMMYFUNCTION("""COMPUTED_VALUE"""),2.0)</f>
        <v>2</v>
      </c>
      <c r="BF63" s="44">
        <f>IFERROR(__xludf.DUMMYFUNCTION("""COMPUTED_VALUE"""),2.5)</f>
        <v>2.5</v>
      </c>
    </row>
    <row r="64">
      <c r="A64" s="40">
        <v>46035.0</v>
      </c>
      <c r="B64" s="4" t="s">
        <v>208</v>
      </c>
      <c r="C64" s="4" t="s">
        <v>194</v>
      </c>
      <c r="D64" s="15" t="s">
        <v>53</v>
      </c>
      <c r="E64" s="15">
        <v>0.5</v>
      </c>
      <c r="V64" s="43">
        <f>IFERROR(__xludf.DUMMYFUNCTION("""COMPUTED_VALUE"""),46083.0)</f>
        <v>46083</v>
      </c>
      <c r="W64" s="44">
        <f>IFERROR(__xludf.DUMMYFUNCTION("""COMPUTED_VALUE"""),2.5)</f>
        <v>2.5</v>
      </c>
      <c r="X64" s="44">
        <f>IFERROR(__xludf.DUMMYFUNCTION("""COMPUTED_VALUE"""),1.5)</f>
        <v>1.5</v>
      </c>
      <c r="Y64" s="44">
        <f>IFERROR(__xludf.DUMMYFUNCTION("""COMPUTED_VALUE"""),1.25)</f>
        <v>1.25</v>
      </c>
      <c r="Z64" s="44">
        <f>IFERROR(__xludf.DUMMYFUNCTION("""COMPUTED_VALUE"""),2.5)</f>
        <v>2.5</v>
      </c>
      <c r="AU64" s="43">
        <v>46085.0</v>
      </c>
      <c r="AX64" s="15" t="s">
        <v>86</v>
      </c>
      <c r="BB64" s="43">
        <f>IFERROR(__xludf.DUMMYFUNCTION("""COMPUTED_VALUE"""),46085.0)</f>
        <v>46085</v>
      </c>
      <c r="BC64" s="44">
        <f>IFERROR(__xludf.DUMMYFUNCTION("""COMPUTED_VALUE"""),3.0)</f>
        <v>3</v>
      </c>
      <c r="BD64" s="44">
        <f>IFERROR(__xludf.DUMMYFUNCTION("""COMPUTED_VALUE"""),1.5)</f>
        <v>1.5</v>
      </c>
      <c r="BE64" s="44">
        <f>IFERROR(__xludf.DUMMYFUNCTION("""COMPUTED_VALUE"""),2.0)</f>
        <v>2</v>
      </c>
      <c r="BF64" s="44">
        <f>IFERROR(__xludf.DUMMYFUNCTION("""COMPUTED_VALUE"""),2.5)</f>
        <v>2.5</v>
      </c>
    </row>
    <row r="65">
      <c r="A65" s="40">
        <v>46035.0</v>
      </c>
      <c r="B65" s="4" t="s">
        <v>58</v>
      </c>
      <c r="C65" s="4" t="s">
        <v>194</v>
      </c>
      <c r="D65" s="15" t="s">
        <v>38</v>
      </c>
      <c r="E65" s="15">
        <v>0.5</v>
      </c>
      <c r="V65" s="43">
        <f>IFERROR(__xludf.DUMMYFUNCTION("""COMPUTED_VALUE"""),46084.0)</f>
        <v>46084</v>
      </c>
      <c r="W65" s="44">
        <f>IFERROR(__xludf.DUMMYFUNCTION("""COMPUTED_VALUE"""),3.0)</f>
        <v>3</v>
      </c>
      <c r="X65" s="44">
        <f>IFERROR(__xludf.DUMMYFUNCTION("""COMPUTED_VALUE"""),1.0)</f>
        <v>1</v>
      </c>
      <c r="Y65" s="44">
        <f>IFERROR(__xludf.DUMMYFUNCTION("""COMPUTED_VALUE"""),2.0)</f>
        <v>2</v>
      </c>
      <c r="Z65" s="44">
        <f>IFERROR(__xludf.DUMMYFUNCTION("""COMPUTED_VALUE"""),2.5)</f>
        <v>2.5</v>
      </c>
      <c r="AU65" s="43">
        <v>46086.0</v>
      </c>
      <c r="AX65" s="15" t="s">
        <v>86</v>
      </c>
      <c r="BB65" s="43">
        <f>IFERROR(__xludf.DUMMYFUNCTION("""COMPUTED_VALUE"""),46086.0)</f>
        <v>46086</v>
      </c>
      <c r="BC65" s="44">
        <f>IFERROR(__xludf.DUMMYFUNCTION("""COMPUTED_VALUE"""),2.0)</f>
        <v>2</v>
      </c>
      <c r="BD65" s="44">
        <f>IFERROR(__xludf.DUMMYFUNCTION("""COMPUTED_VALUE"""),2.0)</f>
        <v>2</v>
      </c>
      <c r="BE65" s="44">
        <f>IFERROR(__xludf.DUMMYFUNCTION("""COMPUTED_VALUE"""),3.0)</f>
        <v>3</v>
      </c>
      <c r="BF65" s="44">
        <f>IFERROR(__xludf.DUMMYFUNCTION("""COMPUTED_VALUE"""),2.5)</f>
        <v>2.5</v>
      </c>
    </row>
    <row r="66">
      <c r="A66" s="40">
        <v>46035.0</v>
      </c>
      <c r="B66" s="4" t="s">
        <v>218</v>
      </c>
      <c r="C66" s="4" t="s">
        <v>194</v>
      </c>
      <c r="D66" s="15" t="s">
        <v>53</v>
      </c>
      <c r="E66" s="15">
        <v>0.5</v>
      </c>
      <c r="V66" s="43">
        <f>IFERROR(__xludf.DUMMYFUNCTION("""COMPUTED_VALUE"""),46085.0)</f>
        <v>46085</v>
      </c>
      <c r="W66" s="44">
        <f>IFERROR(__xludf.DUMMYFUNCTION("""COMPUTED_VALUE"""),3.0)</f>
        <v>3</v>
      </c>
      <c r="X66" s="44">
        <f>IFERROR(__xludf.DUMMYFUNCTION("""COMPUTED_VALUE"""),1.5)</f>
        <v>1.5</v>
      </c>
      <c r="Y66" s="44">
        <f>IFERROR(__xludf.DUMMYFUNCTION("""COMPUTED_VALUE"""),2.0)</f>
        <v>2</v>
      </c>
      <c r="Z66" s="44">
        <f>IFERROR(__xludf.DUMMYFUNCTION("""COMPUTED_VALUE"""),2.5)</f>
        <v>2.5</v>
      </c>
      <c r="AU66" s="43">
        <v>46087.0</v>
      </c>
      <c r="AX66" s="15" t="s">
        <v>86</v>
      </c>
      <c r="BB66" s="43">
        <f>IFERROR(__xludf.DUMMYFUNCTION("""COMPUTED_VALUE"""),46087.0)</f>
        <v>46087</v>
      </c>
      <c r="BC66" s="44"/>
      <c r="BD66" s="44"/>
      <c r="BE66" s="44"/>
      <c r="BF66" s="44"/>
    </row>
    <row r="67">
      <c r="A67" s="40">
        <v>46035.0</v>
      </c>
      <c r="B67" s="4" t="s">
        <v>212</v>
      </c>
      <c r="C67" s="4" t="s">
        <v>194</v>
      </c>
      <c r="D67" s="15" t="s">
        <v>53</v>
      </c>
      <c r="E67" s="15">
        <v>0.5</v>
      </c>
      <c r="V67" s="43">
        <f>IFERROR(__xludf.DUMMYFUNCTION("""COMPUTED_VALUE"""),46086.0)</f>
        <v>46086</v>
      </c>
      <c r="W67" s="44">
        <f>IFERROR(__xludf.DUMMYFUNCTION("""COMPUTED_VALUE"""),2.0)</f>
        <v>2</v>
      </c>
      <c r="X67" s="44">
        <f>IFERROR(__xludf.DUMMYFUNCTION("""COMPUTED_VALUE"""),2.0)</f>
        <v>2</v>
      </c>
      <c r="Y67" s="44">
        <f>IFERROR(__xludf.DUMMYFUNCTION("""COMPUTED_VALUE"""),3.0)</f>
        <v>3</v>
      </c>
      <c r="Z67" s="44">
        <f>IFERROR(__xludf.DUMMYFUNCTION("""COMPUTED_VALUE"""),2.5)</f>
        <v>2.5</v>
      </c>
      <c r="AU67" s="43">
        <v>46088.0</v>
      </c>
      <c r="AX67" s="15" t="s">
        <v>86</v>
      </c>
      <c r="BB67" s="43">
        <f>IFERROR(__xludf.DUMMYFUNCTION("""COMPUTED_VALUE"""),46088.0)</f>
        <v>46088</v>
      </c>
      <c r="BC67" s="44"/>
      <c r="BD67" s="44"/>
      <c r="BE67" s="44"/>
      <c r="BF67" s="44"/>
    </row>
    <row r="68">
      <c r="A68" s="40">
        <v>46035.0</v>
      </c>
      <c r="B68" s="4" t="s">
        <v>196</v>
      </c>
      <c r="C68" s="4" t="s">
        <v>558</v>
      </c>
      <c r="D68" s="15" t="s">
        <v>93</v>
      </c>
      <c r="E68" s="15">
        <v>2.0</v>
      </c>
      <c r="V68" s="43">
        <f>IFERROR(__xludf.DUMMYFUNCTION("""COMPUTED_VALUE"""),46087.0)</f>
        <v>46087</v>
      </c>
      <c r="W68" s="44"/>
      <c r="X68" s="44"/>
      <c r="Y68" s="44"/>
      <c r="Z68" s="44"/>
      <c r="AU68" s="43">
        <v>46089.0</v>
      </c>
      <c r="AX68" s="15" t="s">
        <v>86</v>
      </c>
      <c r="BB68" s="43">
        <f>IFERROR(__xludf.DUMMYFUNCTION("""COMPUTED_VALUE"""),46089.0)</f>
        <v>46089</v>
      </c>
      <c r="BC68" s="44"/>
      <c r="BD68" s="44"/>
      <c r="BE68" s="44"/>
      <c r="BF68" s="44"/>
    </row>
    <row r="69">
      <c r="A69" s="40">
        <v>46036.0</v>
      </c>
      <c r="B69" s="4" t="s">
        <v>196</v>
      </c>
      <c r="C69" s="4" t="s">
        <v>194</v>
      </c>
      <c r="D69" s="15" t="s">
        <v>93</v>
      </c>
      <c r="E69" s="15">
        <v>0.5</v>
      </c>
      <c r="V69" s="43">
        <f>IFERROR(__xludf.DUMMYFUNCTION("""COMPUTED_VALUE"""),46088.0)</f>
        <v>46088</v>
      </c>
      <c r="W69" s="44"/>
      <c r="X69" s="44"/>
      <c r="Y69" s="44"/>
      <c r="Z69" s="44"/>
      <c r="AU69" s="43">
        <v>46090.0</v>
      </c>
      <c r="AX69" s="15" t="s">
        <v>86</v>
      </c>
      <c r="BB69" s="43">
        <f>IFERROR(__xludf.DUMMYFUNCTION("""COMPUTED_VALUE"""),46090.0)</f>
        <v>46090</v>
      </c>
      <c r="BC69" s="44">
        <f>IFERROR(__xludf.DUMMYFUNCTION("""COMPUTED_VALUE"""),0.9166666666666667)</f>
        <v>0.9166666667</v>
      </c>
      <c r="BD69" s="44">
        <f>IFERROR(__xludf.DUMMYFUNCTION("""COMPUTED_VALUE"""),1.0)</f>
        <v>1</v>
      </c>
      <c r="BE69" s="44">
        <f>IFERROR(__xludf.DUMMYFUNCTION("""COMPUTED_VALUE"""),1.5)</f>
        <v>1.5</v>
      </c>
      <c r="BF69" s="44">
        <f>IFERROR(__xludf.DUMMYFUNCTION("""COMPUTED_VALUE"""),1.25)</f>
        <v>1.25</v>
      </c>
    </row>
    <row r="70">
      <c r="A70" s="40">
        <v>46036.0</v>
      </c>
      <c r="B70" s="4" t="s">
        <v>189</v>
      </c>
      <c r="C70" s="4" t="s">
        <v>420</v>
      </c>
      <c r="D70" s="15" t="s">
        <v>93</v>
      </c>
      <c r="E70" s="15">
        <v>0.25</v>
      </c>
      <c r="V70" s="43">
        <f>IFERROR(__xludf.DUMMYFUNCTION("""COMPUTED_VALUE"""),46089.0)</f>
        <v>46089</v>
      </c>
      <c r="W70" s="44"/>
      <c r="X70" s="44"/>
      <c r="Y70" s="44"/>
      <c r="Z70" s="44"/>
      <c r="AU70" s="43">
        <v>46091.0</v>
      </c>
      <c r="AX70" s="15" t="s">
        <v>86</v>
      </c>
      <c r="BB70" s="43">
        <f>IFERROR(__xludf.DUMMYFUNCTION("""COMPUTED_VALUE"""),46091.0)</f>
        <v>46091</v>
      </c>
      <c r="BC70" s="44">
        <f>IFERROR(__xludf.DUMMYFUNCTION("""COMPUTED_VALUE"""),3.0)</f>
        <v>3</v>
      </c>
      <c r="BD70" s="44"/>
      <c r="BE70" s="44">
        <f>IFERROR(__xludf.DUMMYFUNCTION("""COMPUTED_VALUE"""),2.0)</f>
        <v>2</v>
      </c>
      <c r="BF70" s="44">
        <f>IFERROR(__xludf.DUMMYFUNCTION("""COMPUTED_VALUE"""),2.25)</f>
        <v>2.25</v>
      </c>
    </row>
    <row r="71">
      <c r="A71" s="40">
        <v>46036.0</v>
      </c>
      <c r="B71" s="4" t="s">
        <v>173</v>
      </c>
      <c r="C71" s="4" t="s">
        <v>194</v>
      </c>
      <c r="D71" s="15" t="s">
        <v>93</v>
      </c>
      <c r="E71" s="15">
        <v>0.5</v>
      </c>
      <c r="V71" s="43">
        <f>IFERROR(__xludf.DUMMYFUNCTION("""COMPUTED_VALUE"""),46090.0)</f>
        <v>46090</v>
      </c>
      <c r="W71" s="44">
        <f>IFERROR(__xludf.DUMMYFUNCTION("""COMPUTED_VALUE"""),0.9166666666666667)</f>
        <v>0.9166666667</v>
      </c>
      <c r="X71" s="44">
        <f>IFERROR(__xludf.DUMMYFUNCTION("""COMPUTED_VALUE"""),1.0)</f>
        <v>1</v>
      </c>
      <c r="Y71" s="44">
        <f>IFERROR(__xludf.DUMMYFUNCTION("""COMPUTED_VALUE"""),1.5)</f>
        <v>1.5</v>
      </c>
      <c r="Z71" s="44">
        <f>IFERROR(__xludf.DUMMYFUNCTION("""COMPUTED_VALUE"""),1.25)</f>
        <v>1.25</v>
      </c>
      <c r="AU71" s="43">
        <v>46092.0</v>
      </c>
      <c r="AX71" s="15" t="s">
        <v>86</v>
      </c>
      <c r="BB71" s="43">
        <f>IFERROR(__xludf.DUMMYFUNCTION("""COMPUTED_VALUE"""),46092.0)</f>
        <v>46092</v>
      </c>
      <c r="BC71" s="44">
        <f>IFERROR(__xludf.DUMMYFUNCTION("""COMPUTED_VALUE"""),3.5)</f>
        <v>3.5</v>
      </c>
      <c r="BD71" s="44">
        <f>IFERROR(__xludf.DUMMYFUNCTION("""COMPUTED_VALUE"""),2.0)</f>
        <v>2</v>
      </c>
      <c r="BE71" s="44">
        <f>IFERROR(__xludf.DUMMYFUNCTION("""COMPUTED_VALUE"""),3.0)</f>
        <v>3</v>
      </c>
      <c r="BF71" s="44">
        <f>IFERROR(__xludf.DUMMYFUNCTION("""COMPUTED_VALUE"""),0.5)</f>
        <v>0.5</v>
      </c>
    </row>
    <row r="72">
      <c r="A72" s="40">
        <v>46036.0</v>
      </c>
      <c r="B72" s="4" t="s">
        <v>176</v>
      </c>
      <c r="C72" s="4" t="s">
        <v>259</v>
      </c>
      <c r="D72" s="15" t="s">
        <v>93</v>
      </c>
      <c r="E72" s="15">
        <v>1.0</v>
      </c>
      <c r="V72" s="43">
        <f>IFERROR(__xludf.DUMMYFUNCTION("""COMPUTED_VALUE"""),46091.0)</f>
        <v>46091</v>
      </c>
      <c r="W72" s="44">
        <f>IFERROR(__xludf.DUMMYFUNCTION("""COMPUTED_VALUE"""),3.0)</f>
        <v>3</v>
      </c>
      <c r="X72" s="44"/>
      <c r="Y72" s="44">
        <f>IFERROR(__xludf.DUMMYFUNCTION("""COMPUTED_VALUE"""),2.0)</f>
        <v>2</v>
      </c>
      <c r="Z72" s="44">
        <f>IFERROR(__xludf.DUMMYFUNCTION("""COMPUTED_VALUE"""),2.25)</f>
        <v>2.25</v>
      </c>
      <c r="AU72" s="43">
        <v>46093.0</v>
      </c>
      <c r="AX72" s="15" t="s">
        <v>86</v>
      </c>
      <c r="BB72" s="43">
        <f>IFERROR(__xludf.DUMMYFUNCTION("""COMPUTED_VALUE"""),46093.0)</f>
        <v>46093</v>
      </c>
      <c r="BC72" s="44">
        <f>IFERROR(__xludf.DUMMYFUNCTION("""COMPUTED_VALUE"""),1.4166666666666667)</f>
        <v>1.416666667</v>
      </c>
      <c r="BD72" s="44">
        <f>IFERROR(__xludf.DUMMYFUNCTION("""COMPUTED_VALUE"""),0.75)</f>
        <v>0.75</v>
      </c>
      <c r="BE72" s="44">
        <f>IFERROR(__xludf.DUMMYFUNCTION("""COMPUTED_VALUE"""),2.5)</f>
        <v>2.5</v>
      </c>
      <c r="BF72" s="44">
        <f>IFERROR(__xludf.DUMMYFUNCTION("""COMPUTED_VALUE"""),3.25)</f>
        <v>3.25</v>
      </c>
    </row>
    <row r="73">
      <c r="A73" s="40">
        <v>46036.0</v>
      </c>
      <c r="B73" s="4" t="s">
        <v>192</v>
      </c>
      <c r="C73" s="4" t="s">
        <v>194</v>
      </c>
      <c r="D73" s="15" t="s">
        <v>93</v>
      </c>
      <c r="E73" s="15">
        <v>0.5</v>
      </c>
      <c r="V73" s="43">
        <f>IFERROR(__xludf.DUMMYFUNCTION("""COMPUTED_VALUE"""),46092.0)</f>
        <v>46092</v>
      </c>
      <c r="W73" s="44">
        <f>IFERROR(__xludf.DUMMYFUNCTION("""COMPUTED_VALUE"""),3.5)</f>
        <v>3.5</v>
      </c>
      <c r="X73" s="44">
        <f>IFERROR(__xludf.DUMMYFUNCTION("""COMPUTED_VALUE"""),2.0)</f>
        <v>2</v>
      </c>
      <c r="Y73" s="44">
        <f>IFERROR(__xludf.DUMMYFUNCTION("""COMPUTED_VALUE"""),3.0)</f>
        <v>3</v>
      </c>
      <c r="Z73" s="44">
        <f>IFERROR(__xludf.DUMMYFUNCTION("""COMPUTED_VALUE"""),0.5)</f>
        <v>0.5</v>
      </c>
      <c r="AU73" s="43">
        <v>46094.0</v>
      </c>
      <c r="AX73" s="15" t="s">
        <v>86</v>
      </c>
      <c r="BB73" s="43">
        <f>IFERROR(__xludf.DUMMYFUNCTION("""COMPUTED_VALUE"""),46094.0)</f>
        <v>46094</v>
      </c>
      <c r="BC73" s="44">
        <f>IFERROR(__xludf.DUMMYFUNCTION("""COMPUTED_VALUE"""),2.75)</f>
        <v>2.75</v>
      </c>
      <c r="BD73" s="44">
        <f>IFERROR(__xludf.DUMMYFUNCTION("""COMPUTED_VALUE"""),2.0)</f>
        <v>2</v>
      </c>
      <c r="BE73" s="44">
        <f>IFERROR(__xludf.DUMMYFUNCTION("""COMPUTED_VALUE"""),1.5)</f>
        <v>1.5</v>
      </c>
      <c r="BF73" s="44">
        <f>IFERROR(__xludf.DUMMYFUNCTION("""COMPUTED_VALUE"""),2.0)</f>
        <v>2</v>
      </c>
    </row>
    <row r="74">
      <c r="A74" s="40">
        <v>46036.0</v>
      </c>
      <c r="B74" s="4" t="s">
        <v>205</v>
      </c>
      <c r="C74" s="4" t="s">
        <v>194</v>
      </c>
      <c r="D74" s="15" t="s">
        <v>53</v>
      </c>
      <c r="E74" s="15">
        <v>0.5</v>
      </c>
      <c r="V74" s="43">
        <f>IFERROR(__xludf.DUMMYFUNCTION("""COMPUTED_VALUE"""),46093.0)</f>
        <v>46093</v>
      </c>
      <c r="W74" s="44">
        <f>IFERROR(__xludf.DUMMYFUNCTION("""COMPUTED_VALUE"""),1.4166666666666667)</f>
        <v>1.416666667</v>
      </c>
      <c r="X74" s="44">
        <f>IFERROR(__xludf.DUMMYFUNCTION("""COMPUTED_VALUE"""),0.75)</f>
        <v>0.75</v>
      </c>
      <c r="Y74" s="44">
        <f>IFERROR(__xludf.DUMMYFUNCTION("""COMPUTED_VALUE"""),2.5)</f>
        <v>2.5</v>
      </c>
      <c r="Z74" s="44">
        <f>IFERROR(__xludf.DUMMYFUNCTION("""COMPUTED_VALUE"""),3.25)</f>
        <v>3.25</v>
      </c>
      <c r="AU74" s="43">
        <v>46095.0</v>
      </c>
      <c r="AX74" s="15" t="s">
        <v>86</v>
      </c>
      <c r="BB74" s="43">
        <f>IFERROR(__xludf.DUMMYFUNCTION("""COMPUTED_VALUE"""),46095.0)</f>
        <v>46095</v>
      </c>
      <c r="BC74" s="44"/>
      <c r="BD74" s="44"/>
      <c r="BE74" s="44"/>
      <c r="BF74" s="44"/>
    </row>
    <row r="75">
      <c r="A75" s="40">
        <v>46036.0</v>
      </c>
      <c r="B75" s="4" t="s">
        <v>208</v>
      </c>
      <c r="C75" s="4" t="s">
        <v>194</v>
      </c>
      <c r="D75" s="15" t="s">
        <v>53</v>
      </c>
      <c r="E75" s="15">
        <v>0.5</v>
      </c>
      <c r="V75" s="43">
        <f>IFERROR(__xludf.DUMMYFUNCTION("""COMPUTED_VALUE"""),46094.0)</f>
        <v>46094</v>
      </c>
      <c r="W75" s="44">
        <f>IFERROR(__xludf.DUMMYFUNCTION("""COMPUTED_VALUE"""),2.75)</f>
        <v>2.75</v>
      </c>
      <c r="X75" s="44">
        <f>IFERROR(__xludf.DUMMYFUNCTION("""COMPUTED_VALUE"""),2.0)</f>
        <v>2</v>
      </c>
      <c r="Y75" s="44">
        <f>IFERROR(__xludf.DUMMYFUNCTION("""COMPUTED_VALUE"""),1.5)</f>
        <v>1.5</v>
      </c>
      <c r="Z75" s="44">
        <f>IFERROR(__xludf.DUMMYFUNCTION("""COMPUTED_VALUE"""),2.0)</f>
        <v>2</v>
      </c>
      <c r="AU75" s="43">
        <v>46096.0</v>
      </c>
      <c r="AX75" s="15" t="s">
        <v>86</v>
      </c>
      <c r="BB75" s="43">
        <f>IFERROR(__xludf.DUMMYFUNCTION("""COMPUTED_VALUE"""),46096.0)</f>
        <v>46096</v>
      </c>
      <c r="BC75" s="44"/>
      <c r="BD75" s="44"/>
      <c r="BE75" s="44"/>
      <c r="BF75" s="44"/>
    </row>
    <row r="76">
      <c r="A76" s="40">
        <v>46036.0</v>
      </c>
      <c r="B76" s="4" t="s">
        <v>212</v>
      </c>
      <c r="C76" s="4" t="s">
        <v>259</v>
      </c>
      <c r="D76" s="15" t="s">
        <v>53</v>
      </c>
      <c r="E76" s="15">
        <v>1.0</v>
      </c>
      <c r="V76" s="43">
        <f>IFERROR(__xludf.DUMMYFUNCTION("""COMPUTED_VALUE"""),46095.0)</f>
        <v>46095</v>
      </c>
      <c r="W76" s="44"/>
      <c r="X76" s="44"/>
      <c r="Y76" s="44"/>
      <c r="Z76" s="44"/>
      <c r="AU76" s="43">
        <v>46097.0</v>
      </c>
      <c r="AX76" s="15" t="s">
        <v>86</v>
      </c>
      <c r="BB76" s="43">
        <f>IFERROR(__xludf.DUMMYFUNCTION("""COMPUTED_VALUE"""),46097.0)</f>
        <v>46097</v>
      </c>
      <c r="BC76" s="44">
        <f>IFERROR(__xludf.DUMMYFUNCTION("""COMPUTED_VALUE"""),3.0)</f>
        <v>3</v>
      </c>
      <c r="BD76" s="44">
        <f>IFERROR(__xludf.DUMMYFUNCTION("""COMPUTED_VALUE"""),3.5)</f>
        <v>3.5</v>
      </c>
      <c r="BE76" s="44">
        <f>IFERROR(__xludf.DUMMYFUNCTION("""COMPUTED_VALUE"""),2.5)</f>
        <v>2.5</v>
      </c>
      <c r="BF76" s="44">
        <f>IFERROR(__xludf.DUMMYFUNCTION("""COMPUTED_VALUE"""),1.5)</f>
        <v>1.5</v>
      </c>
    </row>
    <row r="77">
      <c r="A77" s="40">
        <v>46036.0</v>
      </c>
      <c r="B77" s="4" t="s">
        <v>251</v>
      </c>
      <c r="C77" s="4" t="s">
        <v>259</v>
      </c>
      <c r="D77" s="15" t="s">
        <v>53</v>
      </c>
      <c r="E77" s="15">
        <v>1.0</v>
      </c>
      <c r="V77" s="43">
        <f>IFERROR(__xludf.DUMMYFUNCTION("""COMPUTED_VALUE"""),46096.0)</f>
        <v>46096</v>
      </c>
      <c r="W77" s="44"/>
      <c r="X77" s="44"/>
      <c r="Y77" s="44"/>
      <c r="Z77" s="44"/>
      <c r="AU77" s="43">
        <v>46098.0</v>
      </c>
      <c r="AX77" s="15" t="s">
        <v>86</v>
      </c>
      <c r="BB77" s="43">
        <f>IFERROR(__xludf.DUMMYFUNCTION("""COMPUTED_VALUE"""),46098.0)</f>
        <v>46098</v>
      </c>
      <c r="BC77" s="44">
        <f>IFERROR(__xludf.DUMMYFUNCTION("""COMPUTED_VALUE"""),0.5)</f>
        <v>0.5</v>
      </c>
      <c r="BD77" s="44">
        <f>IFERROR(__xludf.DUMMYFUNCTION("""COMPUTED_VALUE"""),2.0)</f>
        <v>2</v>
      </c>
      <c r="BE77" s="44">
        <f>IFERROR(__xludf.DUMMYFUNCTION("""COMPUTED_VALUE"""),1.5)</f>
        <v>1.5</v>
      </c>
      <c r="BF77" s="44">
        <f>IFERROR(__xludf.DUMMYFUNCTION("""COMPUTED_VALUE"""),3.0)</f>
        <v>3</v>
      </c>
    </row>
    <row r="78">
      <c r="A78" s="40">
        <v>46036.0</v>
      </c>
      <c r="B78" s="4" t="s">
        <v>196</v>
      </c>
      <c r="C78" s="4" t="s">
        <v>194</v>
      </c>
      <c r="D78" s="15" t="s">
        <v>93</v>
      </c>
      <c r="E78" s="15">
        <v>0.5</v>
      </c>
      <c r="V78" s="43">
        <f>IFERROR(__xludf.DUMMYFUNCTION("""COMPUTED_VALUE"""),46097.0)</f>
        <v>46097</v>
      </c>
      <c r="W78" s="44">
        <f>IFERROR(__xludf.DUMMYFUNCTION("""COMPUTED_VALUE"""),3.0)</f>
        <v>3</v>
      </c>
      <c r="X78" s="44">
        <f>IFERROR(__xludf.DUMMYFUNCTION("""COMPUTED_VALUE"""),3.5)</f>
        <v>3.5</v>
      </c>
      <c r="Y78" s="44">
        <f>IFERROR(__xludf.DUMMYFUNCTION("""COMPUTED_VALUE"""),2.5)</f>
        <v>2.5</v>
      </c>
      <c r="Z78" s="44">
        <f>IFERROR(__xludf.DUMMYFUNCTION("""COMPUTED_VALUE"""),1.5)</f>
        <v>1.5</v>
      </c>
      <c r="AU78" s="43">
        <v>46099.0</v>
      </c>
      <c r="AX78" s="15" t="s">
        <v>86</v>
      </c>
      <c r="BB78" s="43">
        <f>IFERROR(__xludf.DUMMYFUNCTION("""COMPUTED_VALUE"""),46099.0)</f>
        <v>46099</v>
      </c>
      <c r="BC78" s="44">
        <f>IFERROR(__xludf.DUMMYFUNCTION("""COMPUTED_VALUE"""),5.0)</f>
        <v>5</v>
      </c>
      <c r="BD78" s="44">
        <f>IFERROR(__xludf.DUMMYFUNCTION("""COMPUTED_VALUE"""),1.5)</f>
        <v>1.5</v>
      </c>
      <c r="BE78" s="44">
        <f>IFERROR(__xludf.DUMMYFUNCTION("""COMPUTED_VALUE"""),1.5)</f>
        <v>1.5</v>
      </c>
      <c r="BF78" s="44">
        <f>IFERROR(__xludf.DUMMYFUNCTION("""COMPUTED_VALUE"""),3.0)</f>
        <v>3</v>
      </c>
    </row>
    <row r="79">
      <c r="A79" s="40">
        <v>46036.0</v>
      </c>
      <c r="B79" s="4" t="s">
        <v>251</v>
      </c>
      <c r="C79" s="4" t="s">
        <v>194</v>
      </c>
      <c r="D79" s="15" t="s">
        <v>53</v>
      </c>
      <c r="E79" s="15">
        <v>0.5</v>
      </c>
      <c r="V79" s="43">
        <f>IFERROR(__xludf.DUMMYFUNCTION("""COMPUTED_VALUE"""),46098.0)</f>
        <v>46098</v>
      </c>
      <c r="W79" s="44">
        <f>IFERROR(__xludf.DUMMYFUNCTION("""COMPUTED_VALUE"""),0.5)</f>
        <v>0.5</v>
      </c>
      <c r="X79" s="44">
        <f>IFERROR(__xludf.DUMMYFUNCTION("""COMPUTED_VALUE"""),2.0)</f>
        <v>2</v>
      </c>
      <c r="Y79" s="44">
        <f>IFERROR(__xludf.DUMMYFUNCTION("""COMPUTED_VALUE"""),1.5)</f>
        <v>1.5</v>
      </c>
      <c r="Z79" s="44">
        <f>IFERROR(__xludf.DUMMYFUNCTION("""COMPUTED_VALUE"""),3.0)</f>
        <v>3</v>
      </c>
      <c r="AU79" s="43">
        <v>46100.0</v>
      </c>
      <c r="AX79" s="15" t="s">
        <v>86</v>
      </c>
      <c r="BB79" s="43">
        <f>IFERROR(__xludf.DUMMYFUNCTION("""COMPUTED_VALUE"""),46100.0)</f>
        <v>46100</v>
      </c>
      <c r="BC79" s="44">
        <f>IFERROR(__xludf.DUMMYFUNCTION("""COMPUTED_VALUE"""),0.5)</f>
        <v>0.5</v>
      </c>
      <c r="BD79" s="44">
        <f>IFERROR(__xludf.DUMMYFUNCTION("""COMPUTED_VALUE"""),2.0)</f>
        <v>2</v>
      </c>
      <c r="BE79" s="44">
        <f>IFERROR(__xludf.DUMMYFUNCTION("""COMPUTED_VALUE"""),8.0)</f>
        <v>8</v>
      </c>
      <c r="BF79" s="44">
        <f>IFERROR(__xludf.DUMMYFUNCTION("""COMPUTED_VALUE"""),0.5)</f>
        <v>0.5</v>
      </c>
    </row>
    <row r="80">
      <c r="A80" s="40">
        <v>46036.0</v>
      </c>
      <c r="B80" s="4" t="s">
        <v>196</v>
      </c>
      <c r="C80" s="4" t="s">
        <v>420</v>
      </c>
      <c r="D80" s="15" t="s">
        <v>93</v>
      </c>
      <c r="E80" s="15">
        <v>0.25</v>
      </c>
      <c r="V80" s="43">
        <f>IFERROR(__xludf.DUMMYFUNCTION("""COMPUTED_VALUE"""),46099.0)</f>
        <v>46099</v>
      </c>
      <c r="W80" s="44">
        <f>IFERROR(__xludf.DUMMYFUNCTION("""COMPUTED_VALUE"""),5.0)</f>
        <v>5</v>
      </c>
      <c r="X80" s="44">
        <f>IFERROR(__xludf.DUMMYFUNCTION("""COMPUTED_VALUE"""),1.5)</f>
        <v>1.5</v>
      </c>
      <c r="Y80" s="44">
        <f>IFERROR(__xludf.DUMMYFUNCTION("""COMPUTED_VALUE"""),1.5)</f>
        <v>1.5</v>
      </c>
      <c r="Z80" s="44">
        <f>IFERROR(__xludf.DUMMYFUNCTION("""COMPUTED_VALUE"""),3.0)</f>
        <v>3</v>
      </c>
      <c r="AU80" s="43">
        <v>46101.0</v>
      </c>
      <c r="AX80" s="15" t="s">
        <v>86</v>
      </c>
      <c r="BB80" s="43">
        <f>IFERROR(__xludf.DUMMYFUNCTION("""COMPUTED_VALUE"""),46101.0)</f>
        <v>46101</v>
      </c>
      <c r="BC80" s="44"/>
      <c r="BD80" s="44"/>
      <c r="BE80" s="44">
        <f>IFERROR(__xludf.DUMMYFUNCTION("""COMPUTED_VALUE"""),7.0)</f>
        <v>7</v>
      </c>
      <c r="BF80" s="44"/>
    </row>
    <row r="81">
      <c r="A81" s="40">
        <v>46037.0</v>
      </c>
      <c r="B81" s="4" t="s">
        <v>196</v>
      </c>
      <c r="C81" s="4" t="s">
        <v>420</v>
      </c>
      <c r="D81" s="15" t="s">
        <v>93</v>
      </c>
      <c r="E81" s="15">
        <v>0.25</v>
      </c>
      <c r="V81" s="43">
        <f>IFERROR(__xludf.DUMMYFUNCTION("""COMPUTED_VALUE"""),46100.0)</f>
        <v>46100</v>
      </c>
      <c r="W81" s="44">
        <f>IFERROR(__xludf.DUMMYFUNCTION("""COMPUTED_VALUE"""),0.5)</f>
        <v>0.5</v>
      </c>
      <c r="X81" s="44">
        <f>IFERROR(__xludf.DUMMYFUNCTION("""COMPUTED_VALUE"""),2.0)</f>
        <v>2</v>
      </c>
      <c r="Y81" s="44">
        <f>IFERROR(__xludf.DUMMYFUNCTION("""COMPUTED_VALUE"""),8.0)</f>
        <v>8</v>
      </c>
      <c r="Z81" s="44">
        <f>IFERROR(__xludf.DUMMYFUNCTION("""COMPUTED_VALUE"""),0.5)</f>
        <v>0.5</v>
      </c>
      <c r="AU81" s="43">
        <v>46102.0</v>
      </c>
      <c r="AX81" s="15" t="s">
        <v>86</v>
      </c>
      <c r="BB81" s="43">
        <f>IFERROR(__xludf.DUMMYFUNCTION("""COMPUTED_VALUE"""),46102.0)</f>
        <v>46102</v>
      </c>
      <c r="BC81" s="44"/>
      <c r="BD81" s="44"/>
      <c r="BE81" s="44"/>
      <c r="BF81" s="44"/>
    </row>
    <row r="82">
      <c r="A82" s="40">
        <v>46037.0</v>
      </c>
      <c r="B82" s="4" t="s">
        <v>58</v>
      </c>
      <c r="C82" s="4" t="s">
        <v>259</v>
      </c>
      <c r="D82" s="15" t="s">
        <v>38</v>
      </c>
      <c r="E82" s="15">
        <v>1.0</v>
      </c>
      <c r="V82" s="43">
        <f>IFERROR(__xludf.DUMMYFUNCTION("""COMPUTED_VALUE"""),46101.0)</f>
        <v>46101</v>
      </c>
      <c r="W82" s="44"/>
      <c r="X82" s="44"/>
      <c r="Y82" s="44">
        <f>IFERROR(__xludf.DUMMYFUNCTION("""COMPUTED_VALUE"""),7.0)</f>
        <v>7</v>
      </c>
      <c r="Z82" s="44"/>
      <c r="AU82" s="43">
        <v>46103.0</v>
      </c>
      <c r="AX82" s="15" t="s">
        <v>86</v>
      </c>
      <c r="BB82" s="43">
        <f>IFERROR(__xludf.DUMMYFUNCTION("""COMPUTED_VALUE"""),46103.0)</f>
        <v>46103</v>
      </c>
      <c r="BC82" s="44"/>
      <c r="BD82" s="44"/>
      <c r="BE82" s="44"/>
      <c r="BF82" s="44"/>
    </row>
    <row r="83">
      <c r="A83" s="40">
        <v>46037.0</v>
      </c>
      <c r="B83" s="4" t="s">
        <v>221</v>
      </c>
      <c r="C83" s="4" t="s">
        <v>796</v>
      </c>
      <c r="D83" s="15" t="s">
        <v>53</v>
      </c>
      <c r="E83" s="15">
        <v>2.5</v>
      </c>
      <c r="V83" s="43">
        <f>IFERROR(__xludf.DUMMYFUNCTION("""COMPUTED_VALUE"""),46102.0)</f>
        <v>46102</v>
      </c>
      <c r="W83" s="44"/>
      <c r="X83" s="44"/>
      <c r="Y83" s="44"/>
      <c r="Z83" s="44"/>
      <c r="AU83" s="43">
        <v>46104.0</v>
      </c>
      <c r="AX83" s="15" t="s">
        <v>86</v>
      </c>
      <c r="BB83" s="43">
        <f>IFERROR(__xludf.DUMMYFUNCTION("""COMPUTED_VALUE"""),46104.0)</f>
        <v>46104</v>
      </c>
      <c r="BC83" s="44"/>
      <c r="BD83" s="44">
        <f>IFERROR(__xludf.DUMMYFUNCTION("""COMPUTED_VALUE"""),2.5)</f>
        <v>2.5</v>
      </c>
      <c r="BE83" s="44">
        <f>IFERROR(__xludf.DUMMYFUNCTION("""COMPUTED_VALUE"""),4.0)</f>
        <v>4</v>
      </c>
      <c r="BF83" s="44">
        <f>IFERROR(__xludf.DUMMYFUNCTION("""COMPUTED_VALUE"""),0.5)</f>
        <v>0.5</v>
      </c>
    </row>
    <row r="84">
      <c r="A84" s="40">
        <v>46037.0</v>
      </c>
      <c r="B84" s="4" t="s">
        <v>522</v>
      </c>
      <c r="C84" s="4" t="s">
        <v>194</v>
      </c>
      <c r="D84" s="15" t="s">
        <v>53</v>
      </c>
      <c r="E84" s="15">
        <v>0.5</v>
      </c>
      <c r="V84" s="43">
        <f>IFERROR(__xludf.DUMMYFUNCTION("""COMPUTED_VALUE"""),46103.0)</f>
        <v>46103</v>
      </c>
      <c r="W84" s="44"/>
      <c r="X84" s="44"/>
      <c r="Y84" s="44"/>
      <c r="Z84" s="44"/>
      <c r="AU84" s="43">
        <v>46105.0</v>
      </c>
      <c r="AX84" s="15" t="s">
        <v>86</v>
      </c>
      <c r="BB84" s="43">
        <f>IFERROR(__xludf.DUMMYFUNCTION("""COMPUTED_VALUE"""),46105.0)</f>
        <v>46105</v>
      </c>
      <c r="BC84" s="44">
        <f>IFERROR(__xludf.DUMMYFUNCTION("""COMPUTED_VALUE"""),1.0)</f>
        <v>1</v>
      </c>
      <c r="BD84" s="44">
        <f>IFERROR(__xludf.DUMMYFUNCTION("""COMPUTED_VALUE"""),2.0)</f>
        <v>2</v>
      </c>
      <c r="BE84" s="44">
        <f>IFERROR(__xludf.DUMMYFUNCTION("""COMPUTED_VALUE"""),1.5)</f>
        <v>1.5</v>
      </c>
      <c r="BF84" s="44">
        <f>IFERROR(__xludf.DUMMYFUNCTION("""COMPUTED_VALUE"""),2.5)</f>
        <v>2.5</v>
      </c>
    </row>
    <row r="85">
      <c r="A85" s="40">
        <v>46037.0</v>
      </c>
      <c r="B85" s="4" t="s">
        <v>233</v>
      </c>
      <c r="C85" s="4" t="s">
        <v>259</v>
      </c>
      <c r="D85" s="15" t="s">
        <v>53</v>
      </c>
      <c r="E85" s="15">
        <v>1.0</v>
      </c>
      <c r="V85" s="43">
        <f>IFERROR(__xludf.DUMMYFUNCTION("""COMPUTED_VALUE"""),46104.0)</f>
        <v>46104</v>
      </c>
      <c r="W85" s="44"/>
      <c r="X85" s="44">
        <f>IFERROR(__xludf.DUMMYFUNCTION("""COMPUTED_VALUE"""),2.5)</f>
        <v>2.5</v>
      </c>
      <c r="Y85" s="44">
        <f>IFERROR(__xludf.DUMMYFUNCTION("""COMPUTED_VALUE"""),4.0)</f>
        <v>4</v>
      </c>
      <c r="Z85" s="44">
        <f>IFERROR(__xludf.DUMMYFUNCTION("""COMPUTED_VALUE"""),0.5)</f>
        <v>0.5</v>
      </c>
      <c r="AU85" s="43">
        <v>46106.0</v>
      </c>
      <c r="AX85" s="15" t="s">
        <v>86</v>
      </c>
      <c r="BB85" s="43">
        <f>IFERROR(__xludf.DUMMYFUNCTION("""COMPUTED_VALUE"""),46106.0)</f>
        <v>46106</v>
      </c>
      <c r="BC85" s="44">
        <f>IFERROR(__xludf.DUMMYFUNCTION("""COMPUTED_VALUE"""),2.0)</f>
        <v>2</v>
      </c>
      <c r="BD85" s="44">
        <f>IFERROR(__xludf.DUMMYFUNCTION("""COMPUTED_VALUE"""),4.5)</f>
        <v>4.5</v>
      </c>
      <c r="BE85" s="44">
        <f>IFERROR(__xludf.DUMMYFUNCTION("""COMPUTED_VALUE"""),1.5)</f>
        <v>1.5</v>
      </c>
      <c r="BF85" s="44">
        <f>IFERROR(__xludf.DUMMYFUNCTION("""COMPUTED_VALUE"""),0.5)</f>
        <v>0.5</v>
      </c>
    </row>
    <row r="86">
      <c r="A86" s="40">
        <v>46037.0</v>
      </c>
      <c r="B86" s="4" t="s">
        <v>196</v>
      </c>
      <c r="C86" s="4" t="s">
        <v>194</v>
      </c>
      <c r="D86" s="15" t="s">
        <v>93</v>
      </c>
      <c r="E86" s="15">
        <v>0.5</v>
      </c>
      <c r="V86" s="43">
        <f>IFERROR(__xludf.DUMMYFUNCTION("""COMPUTED_VALUE"""),46105.0)</f>
        <v>46105</v>
      </c>
      <c r="W86" s="44">
        <f>IFERROR(__xludf.DUMMYFUNCTION("""COMPUTED_VALUE"""),1.0)</f>
        <v>1</v>
      </c>
      <c r="X86" s="44">
        <f>IFERROR(__xludf.DUMMYFUNCTION("""COMPUTED_VALUE"""),2.0)</f>
        <v>2</v>
      </c>
      <c r="Y86" s="44">
        <f>IFERROR(__xludf.DUMMYFUNCTION("""COMPUTED_VALUE"""),1.5)</f>
        <v>1.5</v>
      </c>
      <c r="Z86" s="44">
        <f>IFERROR(__xludf.DUMMYFUNCTION("""COMPUTED_VALUE"""),2.5)</f>
        <v>2.5</v>
      </c>
      <c r="AU86" s="43">
        <v>46107.0</v>
      </c>
      <c r="AX86" s="15" t="s">
        <v>86</v>
      </c>
      <c r="BB86" s="43">
        <f>IFERROR(__xludf.DUMMYFUNCTION("""COMPUTED_VALUE"""),46107.0)</f>
        <v>46107</v>
      </c>
      <c r="BC86" s="44"/>
      <c r="BD86" s="44">
        <f>IFERROR(__xludf.DUMMYFUNCTION("""COMPUTED_VALUE"""),2.5)</f>
        <v>2.5</v>
      </c>
      <c r="BE86" s="44">
        <f>IFERROR(__xludf.DUMMYFUNCTION("""COMPUTED_VALUE"""),2.0)</f>
        <v>2</v>
      </c>
      <c r="BF86" s="44"/>
    </row>
    <row r="87">
      <c r="A87" s="40">
        <v>46037.0</v>
      </c>
      <c r="B87" s="4" t="s">
        <v>170</v>
      </c>
      <c r="C87" s="4" t="s">
        <v>194</v>
      </c>
      <c r="D87" s="15" t="s">
        <v>93</v>
      </c>
      <c r="E87" s="15">
        <v>0.5</v>
      </c>
      <c r="V87" s="43">
        <f>IFERROR(__xludf.DUMMYFUNCTION("""COMPUTED_VALUE"""),46106.0)</f>
        <v>46106</v>
      </c>
      <c r="W87" s="44">
        <f>IFERROR(__xludf.DUMMYFUNCTION("""COMPUTED_VALUE"""),2.0)</f>
        <v>2</v>
      </c>
      <c r="X87" s="44">
        <f>IFERROR(__xludf.DUMMYFUNCTION("""COMPUTED_VALUE"""),4.5)</f>
        <v>4.5</v>
      </c>
      <c r="Y87" s="44">
        <f>IFERROR(__xludf.DUMMYFUNCTION("""COMPUTED_VALUE"""),1.5)</f>
        <v>1.5</v>
      </c>
      <c r="Z87" s="44">
        <f>IFERROR(__xludf.DUMMYFUNCTION("""COMPUTED_VALUE"""),0.5)</f>
        <v>0.5</v>
      </c>
      <c r="AU87" s="43">
        <v>46108.0</v>
      </c>
      <c r="AX87" s="15" t="s">
        <v>86</v>
      </c>
      <c r="BB87" s="43">
        <f>IFERROR(__xludf.DUMMYFUNCTION("""COMPUTED_VALUE"""),46108.0)</f>
        <v>46108</v>
      </c>
      <c r="BC87" s="44">
        <f>IFERROR(__xludf.DUMMYFUNCTION("""COMPUTED_VALUE"""),2.5)</f>
        <v>2.5</v>
      </c>
      <c r="BD87" s="44">
        <f>IFERROR(__xludf.DUMMYFUNCTION("""COMPUTED_VALUE"""),3.25)</f>
        <v>3.25</v>
      </c>
      <c r="BE87" s="44"/>
      <c r="BF87" s="44">
        <f>IFERROR(__xludf.DUMMYFUNCTION("""COMPUTED_VALUE"""),1.5)</f>
        <v>1.5</v>
      </c>
    </row>
    <row r="88">
      <c r="A88" s="40">
        <v>46037.0</v>
      </c>
      <c r="B88" s="4" t="s">
        <v>221</v>
      </c>
      <c r="C88" s="4" t="s">
        <v>194</v>
      </c>
      <c r="D88" s="15" t="s">
        <v>53</v>
      </c>
      <c r="E88" s="15">
        <v>0.5</v>
      </c>
      <c r="V88" s="43">
        <f>IFERROR(__xludf.DUMMYFUNCTION("""COMPUTED_VALUE"""),46107.0)</f>
        <v>46107</v>
      </c>
      <c r="W88" s="44"/>
      <c r="X88" s="44">
        <f>IFERROR(__xludf.DUMMYFUNCTION("""COMPUTED_VALUE"""),2.5)</f>
        <v>2.5</v>
      </c>
      <c r="Y88" s="44">
        <f>IFERROR(__xludf.DUMMYFUNCTION("""COMPUTED_VALUE"""),2.0)</f>
        <v>2</v>
      </c>
      <c r="Z88" s="44"/>
      <c r="AU88" s="43">
        <v>46109.0</v>
      </c>
      <c r="AX88" s="15" t="s">
        <v>86</v>
      </c>
      <c r="BB88" s="43">
        <f>IFERROR(__xludf.DUMMYFUNCTION("""COMPUTED_VALUE"""),46109.0)</f>
        <v>46109</v>
      </c>
      <c r="BC88" s="44"/>
      <c r="BD88" s="44"/>
      <c r="BE88" s="44"/>
      <c r="BF88" s="44"/>
    </row>
    <row r="89">
      <c r="A89" s="40">
        <v>46037.0</v>
      </c>
      <c r="B89" s="4" t="s">
        <v>212</v>
      </c>
      <c r="C89" s="4" t="s">
        <v>259</v>
      </c>
      <c r="D89" s="15" t="s">
        <v>53</v>
      </c>
      <c r="E89" s="15">
        <v>1.0</v>
      </c>
      <c r="V89" s="43">
        <f>IFERROR(__xludf.DUMMYFUNCTION("""COMPUTED_VALUE"""),46108.0)</f>
        <v>46108</v>
      </c>
      <c r="W89" s="44">
        <f>IFERROR(__xludf.DUMMYFUNCTION("""COMPUTED_VALUE"""),2.5)</f>
        <v>2.5</v>
      </c>
      <c r="X89" s="44">
        <f>IFERROR(__xludf.DUMMYFUNCTION("""COMPUTED_VALUE"""),3.25)</f>
        <v>3.25</v>
      </c>
      <c r="Y89" s="44"/>
      <c r="Z89" s="44">
        <f>IFERROR(__xludf.DUMMYFUNCTION("""COMPUTED_VALUE"""),1.5)</f>
        <v>1.5</v>
      </c>
      <c r="AU89" s="43">
        <v>46110.0</v>
      </c>
      <c r="AX89" s="15" t="s">
        <v>86</v>
      </c>
      <c r="BB89" s="43">
        <f>IFERROR(__xludf.DUMMYFUNCTION("""COMPUTED_VALUE"""),46110.0)</f>
        <v>46110</v>
      </c>
      <c r="BC89" s="44"/>
      <c r="BD89" s="44"/>
      <c r="BE89" s="44"/>
      <c r="BF89" s="44"/>
    </row>
    <row r="90">
      <c r="A90" s="40">
        <v>46037.0</v>
      </c>
      <c r="B90" s="4" t="s">
        <v>189</v>
      </c>
      <c r="C90" s="4" t="s">
        <v>259</v>
      </c>
      <c r="D90" s="15" t="s">
        <v>93</v>
      </c>
      <c r="E90" s="15">
        <v>1.0</v>
      </c>
      <c r="V90" s="43">
        <f>IFERROR(__xludf.DUMMYFUNCTION("""COMPUTED_VALUE"""),46109.0)</f>
        <v>46109</v>
      </c>
      <c r="W90" s="44"/>
      <c r="X90" s="44"/>
      <c r="Y90" s="44"/>
      <c r="Z90" s="44"/>
      <c r="AU90" s="43">
        <v>46111.0</v>
      </c>
      <c r="AX90" s="15" t="s">
        <v>86</v>
      </c>
      <c r="BB90" s="43">
        <f>IFERROR(__xludf.DUMMYFUNCTION("""COMPUTED_VALUE"""),46111.0)</f>
        <v>46111</v>
      </c>
      <c r="BC90" s="44">
        <f>IFERROR(__xludf.DUMMYFUNCTION("""COMPUTED_VALUE"""),3.0)</f>
        <v>3</v>
      </c>
      <c r="BD90" s="44">
        <f>IFERROR(__xludf.DUMMYFUNCTION("""COMPUTED_VALUE"""),3.0)</f>
        <v>3</v>
      </c>
      <c r="BE90" s="44">
        <f>IFERROR(__xludf.DUMMYFUNCTION("""COMPUTED_VALUE"""),0.5)</f>
        <v>0.5</v>
      </c>
      <c r="BF90" s="44">
        <f>IFERROR(__xludf.DUMMYFUNCTION("""COMPUTED_VALUE"""),2.5)</f>
        <v>2.5</v>
      </c>
    </row>
    <row r="91">
      <c r="A91" s="40">
        <v>46037.0</v>
      </c>
      <c r="B91" s="4" t="s">
        <v>196</v>
      </c>
      <c r="C91" s="4" t="s">
        <v>420</v>
      </c>
      <c r="D91" s="15" t="s">
        <v>93</v>
      </c>
      <c r="E91" s="15">
        <v>0.25</v>
      </c>
      <c r="V91" s="43">
        <f>IFERROR(__xludf.DUMMYFUNCTION("""COMPUTED_VALUE"""),46110.0)</f>
        <v>46110</v>
      </c>
      <c r="W91" s="44"/>
      <c r="X91" s="44"/>
      <c r="Y91" s="44"/>
      <c r="Z91" s="44"/>
      <c r="AU91" s="43">
        <v>46112.0</v>
      </c>
      <c r="AX91" s="15" t="s">
        <v>86</v>
      </c>
      <c r="BB91" s="43">
        <f>IFERROR(__xludf.DUMMYFUNCTION("""COMPUTED_VALUE"""),46112.0)</f>
        <v>46112</v>
      </c>
      <c r="BC91" s="44">
        <f>IFERROR(__xludf.DUMMYFUNCTION("""COMPUTED_VALUE"""),4.0)</f>
        <v>4</v>
      </c>
      <c r="BD91" s="44">
        <f>IFERROR(__xludf.DUMMYFUNCTION("""COMPUTED_VALUE"""),1.5)</f>
        <v>1.5</v>
      </c>
      <c r="BE91" s="44">
        <f>IFERROR(__xludf.DUMMYFUNCTION("""COMPUTED_VALUE"""),3.0)</f>
        <v>3</v>
      </c>
      <c r="BF91" s="44">
        <f>IFERROR(__xludf.DUMMYFUNCTION("""COMPUTED_VALUE"""),1.5)</f>
        <v>1.5</v>
      </c>
    </row>
    <row r="92">
      <c r="A92" s="40">
        <v>46038.0</v>
      </c>
      <c r="B92" s="4" t="s">
        <v>196</v>
      </c>
      <c r="C92" s="4" t="s">
        <v>420</v>
      </c>
      <c r="D92" s="15" t="s">
        <v>93</v>
      </c>
      <c r="E92" s="15">
        <v>0.25</v>
      </c>
      <c r="V92" s="43">
        <f>IFERROR(__xludf.DUMMYFUNCTION("""COMPUTED_VALUE"""),46111.0)</f>
        <v>46111</v>
      </c>
      <c r="W92" s="44">
        <f>IFERROR(__xludf.DUMMYFUNCTION("""COMPUTED_VALUE"""),3.0)</f>
        <v>3</v>
      </c>
      <c r="X92" s="44">
        <f>IFERROR(__xludf.DUMMYFUNCTION("""COMPUTED_VALUE"""),3.0)</f>
        <v>3</v>
      </c>
      <c r="Y92" s="44">
        <f>IFERROR(__xludf.DUMMYFUNCTION("""COMPUTED_VALUE"""),0.5)</f>
        <v>0.5</v>
      </c>
      <c r="Z92" s="44">
        <f>IFERROR(__xludf.DUMMYFUNCTION("""COMPUTED_VALUE"""),2.5)</f>
        <v>2.5</v>
      </c>
      <c r="AU92" s="43">
        <v>46113.0</v>
      </c>
      <c r="AX92" s="15" t="s">
        <v>86</v>
      </c>
      <c r="BB92" s="43">
        <f>IFERROR(__xludf.DUMMYFUNCTION("""COMPUTED_VALUE"""),46113.0)</f>
        <v>46113</v>
      </c>
      <c r="BC92" s="44">
        <f>IFERROR(__xludf.DUMMYFUNCTION("""COMPUTED_VALUE"""),1.5)</f>
        <v>1.5</v>
      </c>
      <c r="BD92" s="44">
        <f>IFERROR(__xludf.DUMMYFUNCTION("""COMPUTED_VALUE"""),3.5)</f>
        <v>3.5</v>
      </c>
      <c r="BE92" s="44">
        <f>IFERROR(__xludf.DUMMYFUNCTION("""COMPUTED_VALUE"""),3.5)</f>
        <v>3.5</v>
      </c>
      <c r="BF92" s="44">
        <f>IFERROR(__xludf.DUMMYFUNCTION("""COMPUTED_VALUE"""),0.5)</f>
        <v>0.5</v>
      </c>
    </row>
    <row r="93">
      <c r="A93" s="40">
        <v>46038.0</v>
      </c>
      <c r="B93" s="4" t="s">
        <v>205</v>
      </c>
      <c r="C93" s="4" t="s">
        <v>194</v>
      </c>
      <c r="D93" s="15" t="s">
        <v>53</v>
      </c>
      <c r="E93" s="15">
        <v>0.5</v>
      </c>
      <c r="V93" s="43">
        <f>IFERROR(__xludf.DUMMYFUNCTION("""COMPUTED_VALUE"""),46112.0)</f>
        <v>46112</v>
      </c>
      <c r="W93" s="44">
        <f>IFERROR(__xludf.DUMMYFUNCTION("""COMPUTED_VALUE"""),4.0)</f>
        <v>4</v>
      </c>
      <c r="X93" s="44">
        <f>IFERROR(__xludf.DUMMYFUNCTION("""COMPUTED_VALUE"""),1.5)</f>
        <v>1.5</v>
      </c>
      <c r="Y93" s="44">
        <f>IFERROR(__xludf.DUMMYFUNCTION("""COMPUTED_VALUE"""),3.0)</f>
        <v>3</v>
      </c>
      <c r="Z93" s="44">
        <f>IFERROR(__xludf.DUMMYFUNCTION("""COMPUTED_VALUE"""),1.5)</f>
        <v>1.5</v>
      </c>
      <c r="AU93" s="43">
        <v>46114.0</v>
      </c>
      <c r="AX93" s="15" t="s">
        <v>86</v>
      </c>
      <c r="BB93" s="43">
        <f>IFERROR(__xludf.DUMMYFUNCTION("""COMPUTED_VALUE"""),46114.0)</f>
        <v>46114</v>
      </c>
      <c r="BC93" s="44">
        <f>IFERROR(__xludf.DUMMYFUNCTION("""COMPUTED_VALUE"""),1.0)</f>
        <v>1</v>
      </c>
      <c r="BD93" s="44">
        <f>IFERROR(__xludf.DUMMYFUNCTION("""COMPUTED_VALUE"""),4.0)</f>
        <v>4</v>
      </c>
      <c r="BE93" s="44">
        <f>IFERROR(__xludf.DUMMYFUNCTION("""COMPUTED_VALUE"""),1.5)</f>
        <v>1.5</v>
      </c>
      <c r="BF93" s="44">
        <f>IFERROR(__xludf.DUMMYFUNCTION("""COMPUTED_VALUE"""),1.0)</f>
        <v>1</v>
      </c>
    </row>
    <row r="94">
      <c r="A94" s="40">
        <v>46038.0</v>
      </c>
      <c r="B94" s="4" t="s">
        <v>221</v>
      </c>
      <c r="C94" s="4" t="s">
        <v>259</v>
      </c>
      <c r="D94" s="15" t="s">
        <v>53</v>
      </c>
      <c r="E94" s="15">
        <v>1.0</v>
      </c>
      <c r="V94" s="43">
        <f>IFERROR(__xludf.DUMMYFUNCTION("""COMPUTED_VALUE"""),46113.0)</f>
        <v>46113</v>
      </c>
      <c r="W94" s="44">
        <f>IFERROR(__xludf.DUMMYFUNCTION("""COMPUTED_VALUE"""),1.5)</f>
        <v>1.5</v>
      </c>
      <c r="X94" s="44">
        <f>IFERROR(__xludf.DUMMYFUNCTION("""COMPUTED_VALUE"""),3.5)</f>
        <v>3.5</v>
      </c>
      <c r="Y94" s="44">
        <f>IFERROR(__xludf.DUMMYFUNCTION("""COMPUTED_VALUE"""),3.5)</f>
        <v>3.5</v>
      </c>
      <c r="Z94" s="44">
        <f>IFERROR(__xludf.DUMMYFUNCTION("""COMPUTED_VALUE"""),0.5)</f>
        <v>0.5</v>
      </c>
      <c r="AU94" s="43">
        <v>46115.0</v>
      </c>
      <c r="AX94" s="15" t="s">
        <v>86</v>
      </c>
      <c r="BB94" s="43">
        <f>IFERROR(__xludf.DUMMYFUNCTION("""COMPUTED_VALUE"""),46115.0)</f>
        <v>46115</v>
      </c>
      <c r="BC94" s="44">
        <f>IFERROR(__xludf.DUMMYFUNCTION("""COMPUTED_VALUE"""),4.0)</f>
        <v>4</v>
      </c>
      <c r="BD94" s="44">
        <f>IFERROR(__xludf.DUMMYFUNCTION("""COMPUTED_VALUE"""),2.5)</f>
        <v>2.5</v>
      </c>
      <c r="BE94" s="44">
        <f>IFERROR(__xludf.DUMMYFUNCTION("""COMPUTED_VALUE"""),0.5)</f>
        <v>0.5</v>
      </c>
      <c r="BF94" s="44">
        <f>IFERROR(__xludf.DUMMYFUNCTION("""COMPUTED_VALUE"""),1.5)</f>
        <v>1.5</v>
      </c>
    </row>
    <row r="95">
      <c r="A95" s="40">
        <v>46038.0</v>
      </c>
      <c r="B95" s="4" t="s">
        <v>208</v>
      </c>
      <c r="C95" s="4" t="s">
        <v>291</v>
      </c>
      <c r="D95" s="15" t="s">
        <v>53</v>
      </c>
      <c r="E95" s="15">
        <v>1.5</v>
      </c>
      <c r="V95" s="43">
        <f>IFERROR(__xludf.DUMMYFUNCTION("""COMPUTED_VALUE"""),46114.0)</f>
        <v>46114</v>
      </c>
      <c r="W95" s="44">
        <f>IFERROR(__xludf.DUMMYFUNCTION("""COMPUTED_VALUE"""),1.0)</f>
        <v>1</v>
      </c>
      <c r="X95" s="44">
        <f>IFERROR(__xludf.DUMMYFUNCTION("""COMPUTED_VALUE"""),4.0)</f>
        <v>4</v>
      </c>
      <c r="Y95" s="44">
        <f>IFERROR(__xludf.DUMMYFUNCTION("""COMPUTED_VALUE"""),1.5)</f>
        <v>1.5</v>
      </c>
      <c r="Z95" s="44">
        <f>IFERROR(__xludf.DUMMYFUNCTION("""COMPUTED_VALUE"""),1.0)</f>
        <v>1</v>
      </c>
      <c r="AU95" s="43">
        <v>46116.0</v>
      </c>
      <c r="AX95" s="15" t="s">
        <v>86</v>
      </c>
      <c r="BB95" s="43">
        <f>IFERROR(__xludf.DUMMYFUNCTION("""COMPUTED_VALUE"""),46116.0)</f>
        <v>46116</v>
      </c>
      <c r="BC95" s="44"/>
      <c r="BD95" s="44"/>
      <c r="BE95" s="44"/>
      <c r="BF95" s="44"/>
    </row>
    <row r="96">
      <c r="A96" s="40">
        <v>46038.0</v>
      </c>
      <c r="B96" s="4" t="s">
        <v>196</v>
      </c>
      <c r="C96" s="4" t="s">
        <v>194</v>
      </c>
      <c r="D96" s="15" t="s">
        <v>93</v>
      </c>
      <c r="E96" s="15">
        <v>0.5</v>
      </c>
      <c r="V96" s="43">
        <f>IFERROR(__xludf.DUMMYFUNCTION("""COMPUTED_VALUE"""),46115.0)</f>
        <v>46115</v>
      </c>
      <c r="W96" s="44">
        <f>IFERROR(__xludf.DUMMYFUNCTION("""COMPUTED_VALUE"""),4.0)</f>
        <v>4</v>
      </c>
      <c r="X96" s="44">
        <f>IFERROR(__xludf.DUMMYFUNCTION("""COMPUTED_VALUE"""),2.5)</f>
        <v>2.5</v>
      </c>
      <c r="Y96" s="44">
        <f>IFERROR(__xludf.DUMMYFUNCTION("""COMPUTED_VALUE"""),0.5)</f>
        <v>0.5</v>
      </c>
      <c r="Z96" s="44">
        <f>IFERROR(__xludf.DUMMYFUNCTION("""COMPUTED_VALUE"""),1.5)</f>
        <v>1.5</v>
      </c>
      <c r="AU96" s="43">
        <v>46117.0</v>
      </c>
      <c r="AX96" s="15" t="s">
        <v>86</v>
      </c>
      <c r="BB96" s="43">
        <f>IFERROR(__xludf.DUMMYFUNCTION("""COMPUTED_VALUE"""),46117.0)</f>
        <v>46117</v>
      </c>
      <c r="BC96" s="44"/>
      <c r="BD96" s="44"/>
      <c r="BE96" s="44"/>
      <c r="BF96" s="44"/>
    </row>
    <row r="97">
      <c r="A97" s="40">
        <v>46038.0</v>
      </c>
      <c r="B97" s="4" t="s">
        <v>275</v>
      </c>
      <c r="C97" s="4" t="s">
        <v>259</v>
      </c>
      <c r="D97" s="15" t="s">
        <v>53</v>
      </c>
      <c r="E97" s="15">
        <v>1.0</v>
      </c>
      <c r="V97" s="43">
        <f>IFERROR(__xludf.DUMMYFUNCTION("""COMPUTED_VALUE"""),46116.0)</f>
        <v>46116</v>
      </c>
      <c r="W97" s="44"/>
      <c r="X97" s="44"/>
      <c r="Y97" s="44"/>
      <c r="Z97" s="44"/>
      <c r="AU97" s="43">
        <v>46118.0</v>
      </c>
      <c r="AX97" s="15" t="s">
        <v>86</v>
      </c>
      <c r="BB97" s="43">
        <f>IFERROR(__xludf.DUMMYFUNCTION("""COMPUTED_VALUE"""),46118.0)</f>
        <v>46118</v>
      </c>
      <c r="BC97" s="44">
        <f>IFERROR(__xludf.DUMMYFUNCTION("""COMPUTED_VALUE"""),4.0)</f>
        <v>4</v>
      </c>
      <c r="BD97" s="44">
        <f>IFERROR(__xludf.DUMMYFUNCTION("""COMPUTED_VALUE"""),3.25)</f>
        <v>3.25</v>
      </c>
      <c r="BE97" s="44"/>
      <c r="BF97" s="44">
        <f>IFERROR(__xludf.DUMMYFUNCTION("""COMPUTED_VALUE"""),0.5)</f>
        <v>0.5</v>
      </c>
    </row>
    <row r="98">
      <c r="A98" s="40">
        <v>46038.0</v>
      </c>
      <c r="B98" s="4" t="s">
        <v>196</v>
      </c>
      <c r="C98" s="4" t="s">
        <v>420</v>
      </c>
      <c r="D98" s="15" t="s">
        <v>93</v>
      </c>
      <c r="E98" s="15">
        <v>0.25</v>
      </c>
      <c r="V98" s="43">
        <f>IFERROR(__xludf.DUMMYFUNCTION("""COMPUTED_VALUE"""),46117.0)</f>
        <v>46117</v>
      </c>
      <c r="W98" s="44"/>
      <c r="X98" s="44"/>
      <c r="Y98" s="44"/>
      <c r="Z98" s="44"/>
      <c r="AU98" s="43">
        <v>46119.0</v>
      </c>
      <c r="AX98" s="15" t="s">
        <v>86</v>
      </c>
      <c r="BB98" s="43">
        <f>IFERROR(__xludf.DUMMYFUNCTION("""COMPUTED_VALUE"""),46119.0)</f>
        <v>46119</v>
      </c>
      <c r="BC98" s="44">
        <f>IFERROR(__xludf.DUMMYFUNCTION("""COMPUTED_VALUE"""),3.5)</f>
        <v>3.5</v>
      </c>
      <c r="BD98" s="44">
        <f>IFERROR(__xludf.DUMMYFUNCTION("""COMPUTED_VALUE"""),4.5)</f>
        <v>4.5</v>
      </c>
      <c r="BE98" s="44"/>
      <c r="BF98" s="44">
        <f>IFERROR(__xludf.DUMMYFUNCTION("""COMPUTED_VALUE"""),2.0)</f>
        <v>2</v>
      </c>
    </row>
    <row r="99">
      <c r="A99" s="40">
        <v>46038.0</v>
      </c>
      <c r="B99" s="4" t="s">
        <v>180</v>
      </c>
      <c r="C99" s="4" t="s">
        <v>194</v>
      </c>
      <c r="D99" s="15" t="s">
        <v>93</v>
      </c>
      <c r="E99" s="15">
        <v>0.5</v>
      </c>
      <c r="V99" s="43">
        <f>IFERROR(__xludf.DUMMYFUNCTION("""COMPUTED_VALUE"""),46118.0)</f>
        <v>46118</v>
      </c>
      <c r="W99" s="44">
        <f>IFERROR(__xludf.DUMMYFUNCTION("""COMPUTED_VALUE"""),4.0)</f>
        <v>4</v>
      </c>
      <c r="X99" s="44">
        <f>IFERROR(__xludf.DUMMYFUNCTION("""COMPUTED_VALUE"""),3.25)</f>
        <v>3.25</v>
      </c>
      <c r="Y99" s="44"/>
      <c r="Z99" s="44">
        <f>IFERROR(__xludf.DUMMYFUNCTION("""COMPUTED_VALUE"""),0.5)</f>
        <v>0.5</v>
      </c>
      <c r="AU99" s="43">
        <v>46120.0</v>
      </c>
      <c r="AX99" s="15" t="s">
        <v>86</v>
      </c>
      <c r="BB99" s="43">
        <f>IFERROR(__xludf.DUMMYFUNCTION("""COMPUTED_VALUE"""),46120.0)</f>
        <v>46120</v>
      </c>
      <c r="BC99" s="44">
        <f>IFERROR(__xludf.DUMMYFUNCTION("""COMPUTED_VALUE"""),2.0)</f>
        <v>2</v>
      </c>
      <c r="BD99" s="44">
        <f>IFERROR(__xludf.DUMMYFUNCTION("""COMPUTED_VALUE"""),4.0)</f>
        <v>4</v>
      </c>
      <c r="BE99" s="44">
        <f>IFERROR(__xludf.DUMMYFUNCTION("""COMPUTED_VALUE"""),1.5)</f>
        <v>1.5</v>
      </c>
      <c r="BF99" s="44">
        <f>IFERROR(__xludf.DUMMYFUNCTION("""COMPUTED_VALUE"""),1.0)</f>
        <v>1</v>
      </c>
    </row>
    <row r="100">
      <c r="A100" s="40">
        <v>46038.0</v>
      </c>
      <c r="B100" s="4" t="s">
        <v>224</v>
      </c>
      <c r="C100" s="4" t="s">
        <v>194</v>
      </c>
      <c r="D100" s="15" t="s">
        <v>53</v>
      </c>
      <c r="E100" s="15">
        <v>0.5</v>
      </c>
      <c r="V100" s="43">
        <f>IFERROR(__xludf.DUMMYFUNCTION("""COMPUTED_VALUE"""),46119.0)</f>
        <v>46119</v>
      </c>
      <c r="W100" s="44">
        <f>IFERROR(__xludf.DUMMYFUNCTION("""COMPUTED_VALUE"""),3.5)</f>
        <v>3.5</v>
      </c>
      <c r="X100" s="44">
        <f>IFERROR(__xludf.DUMMYFUNCTION("""COMPUTED_VALUE"""),4.5)</f>
        <v>4.5</v>
      </c>
      <c r="Y100" s="44"/>
      <c r="Z100" s="44">
        <f>IFERROR(__xludf.DUMMYFUNCTION("""COMPUTED_VALUE"""),2.0)</f>
        <v>2</v>
      </c>
      <c r="AU100" s="43">
        <v>46121.0</v>
      </c>
      <c r="AX100" s="15" t="s">
        <v>86</v>
      </c>
      <c r="BB100" s="43">
        <f>IFERROR(__xludf.DUMMYFUNCTION("""COMPUTED_VALUE"""),46121.0)</f>
        <v>46121</v>
      </c>
      <c r="BC100" s="44">
        <f>IFERROR(__xludf.DUMMYFUNCTION("""COMPUTED_VALUE"""),1.0)</f>
        <v>1</v>
      </c>
      <c r="BD100" s="44">
        <f>IFERROR(__xludf.DUMMYFUNCTION("""COMPUTED_VALUE"""),2.5)</f>
        <v>2.5</v>
      </c>
      <c r="BE100" s="44">
        <f>IFERROR(__xludf.DUMMYFUNCTION("""COMPUTED_VALUE"""),0.75)</f>
        <v>0.75</v>
      </c>
      <c r="BF100" s="44">
        <f>IFERROR(__xludf.DUMMYFUNCTION("""COMPUTED_VALUE"""),2.5)</f>
        <v>2.5</v>
      </c>
    </row>
    <row r="101">
      <c r="A101" s="40">
        <v>46042.0</v>
      </c>
      <c r="B101" s="4" t="s">
        <v>170</v>
      </c>
      <c r="C101" s="4" t="s">
        <v>194</v>
      </c>
      <c r="D101" s="15" t="s">
        <v>93</v>
      </c>
      <c r="E101" s="15">
        <v>0.5</v>
      </c>
      <c r="V101" s="43">
        <f>IFERROR(__xludf.DUMMYFUNCTION("""COMPUTED_VALUE"""),46120.0)</f>
        <v>46120</v>
      </c>
      <c r="W101" s="44">
        <f>IFERROR(__xludf.DUMMYFUNCTION("""COMPUTED_VALUE"""),2.0)</f>
        <v>2</v>
      </c>
      <c r="X101" s="44">
        <f>IFERROR(__xludf.DUMMYFUNCTION("""COMPUTED_VALUE"""),4.0)</f>
        <v>4</v>
      </c>
      <c r="Y101" s="44">
        <f>IFERROR(__xludf.DUMMYFUNCTION("""COMPUTED_VALUE"""),1.5)</f>
        <v>1.5</v>
      </c>
      <c r="Z101" s="44">
        <f>IFERROR(__xludf.DUMMYFUNCTION("""COMPUTED_VALUE"""),1.0)</f>
        <v>1</v>
      </c>
      <c r="AU101" s="43">
        <v>46122.0</v>
      </c>
      <c r="AX101" s="15" t="s">
        <v>86</v>
      </c>
      <c r="BB101" s="43">
        <f>IFERROR(__xludf.DUMMYFUNCTION("""COMPUTED_VALUE"""),46122.0)</f>
        <v>46122</v>
      </c>
      <c r="BC101" s="44">
        <f>IFERROR(__xludf.DUMMYFUNCTION("""COMPUTED_VALUE"""),2.0)</f>
        <v>2</v>
      </c>
      <c r="BD101" s="44">
        <f>IFERROR(__xludf.DUMMYFUNCTION("""COMPUTED_VALUE"""),4.75)</f>
        <v>4.75</v>
      </c>
      <c r="BE101" s="44">
        <f>IFERROR(__xludf.DUMMYFUNCTION("""COMPUTED_VALUE"""),0.5)</f>
        <v>0.5</v>
      </c>
      <c r="BF101" s="44">
        <f>IFERROR(__xludf.DUMMYFUNCTION("""COMPUTED_VALUE"""),2.0)</f>
        <v>2</v>
      </c>
    </row>
    <row r="102">
      <c r="A102" s="40">
        <v>46042.0</v>
      </c>
      <c r="B102" s="4" t="s">
        <v>196</v>
      </c>
      <c r="C102" s="4" t="s">
        <v>194</v>
      </c>
      <c r="D102" s="15" t="s">
        <v>93</v>
      </c>
      <c r="E102" s="15">
        <v>0.5</v>
      </c>
      <c r="V102" s="43">
        <f>IFERROR(__xludf.DUMMYFUNCTION("""COMPUTED_VALUE"""),46121.0)</f>
        <v>46121</v>
      </c>
      <c r="W102" s="44">
        <f>IFERROR(__xludf.DUMMYFUNCTION("""COMPUTED_VALUE"""),1.0)</f>
        <v>1</v>
      </c>
      <c r="X102" s="44">
        <f>IFERROR(__xludf.DUMMYFUNCTION("""COMPUTED_VALUE"""),2.5)</f>
        <v>2.5</v>
      </c>
      <c r="Y102" s="44">
        <f>IFERROR(__xludf.DUMMYFUNCTION("""COMPUTED_VALUE"""),0.75)</f>
        <v>0.75</v>
      </c>
      <c r="Z102" s="44">
        <f>IFERROR(__xludf.DUMMYFUNCTION("""COMPUTED_VALUE"""),2.5)</f>
        <v>2.5</v>
      </c>
      <c r="AU102" s="43">
        <v>46123.0</v>
      </c>
      <c r="AX102" s="15" t="s">
        <v>86</v>
      </c>
      <c r="BB102" s="43">
        <f>IFERROR(__xludf.DUMMYFUNCTION("""COMPUTED_VALUE"""),46123.0)</f>
        <v>46123</v>
      </c>
      <c r="BC102" s="44"/>
      <c r="BD102" s="44"/>
      <c r="BE102" s="44"/>
      <c r="BF102" s="44"/>
    </row>
    <row r="103">
      <c r="A103" s="40">
        <v>46042.0</v>
      </c>
      <c r="B103" s="4" t="s">
        <v>205</v>
      </c>
      <c r="C103" s="4" t="s">
        <v>259</v>
      </c>
      <c r="D103" s="15" t="s">
        <v>53</v>
      </c>
      <c r="E103" s="15">
        <v>1.0</v>
      </c>
      <c r="V103" s="43">
        <f>IFERROR(__xludf.DUMMYFUNCTION("""COMPUTED_VALUE"""),46122.0)</f>
        <v>46122</v>
      </c>
      <c r="W103" s="44">
        <f>IFERROR(__xludf.DUMMYFUNCTION("""COMPUTED_VALUE"""),2.0)</f>
        <v>2</v>
      </c>
      <c r="X103" s="44">
        <f>IFERROR(__xludf.DUMMYFUNCTION("""COMPUTED_VALUE"""),4.75)</f>
        <v>4.75</v>
      </c>
      <c r="Y103" s="44">
        <f>IFERROR(__xludf.DUMMYFUNCTION("""COMPUTED_VALUE"""),0.5)</f>
        <v>0.5</v>
      </c>
      <c r="Z103" s="44">
        <f>IFERROR(__xludf.DUMMYFUNCTION("""COMPUTED_VALUE"""),2.0)</f>
        <v>2</v>
      </c>
      <c r="AU103" s="43">
        <v>46124.0</v>
      </c>
      <c r="AX103" s="15" t="s">
        <v>86</v>
      </c>
      <c r="BB103" s="43">
        <f>IFERROR(__xludf.DUMMYFUNCTION("""COMPUTED_VALUE"""),46124.0)</f>
        <v>46124</v>
      </c>
      <c r="BC103" s="44"/>
      <c r="BD103" s="44"/>
      <c r="BE103" s="44"/>
      <c r="BF103" s="44"/>
    </row>
    <row r="104">
      <c r="A104" s="40">
        <v>46042.0</v>
      </c>
      <c r="B104" s="4" t="s">
        <v>173</v>
      </c>
      <c r="C104" s="4" t="s">
        <v>194</v>
      </c>
      <c r="D104" s="15" t="s">
        <v>93</v>
      </c>
      <c r="E104" s="15">
        <v>0.5</v>
      </c>
      <c r="V104" s="43">
        <f>IFERROR(__xludf.DUMMYFUNCTION("""COMPUTED_VALUE"""),46123.0)</f>
        <v>46123</v>
      </c>
      <c r="W104" s="44"/>
      <c r="X104" s="44"/>
      <c r="Y104" s="44"/>
      <c r="Z104" s="44"/>
      <c r="AU104" s="43">
        <v>46125.0</v>
      </c>
      <c r="AX104" s="15" t="s">
        <v>86</v>
      </c>
      <c r="BB104" s="43">
        <f>IFERROR(__xludf.DUMMYFUNCTION("""COMPUTED_VALUE"""),46125.0)</f>
        <v>46125</v>
      </c>
      <c r="BC104" s="44">
        <f>IFERROR(__xludf.DUMMYFUNCTION("""COMPUTED_VALUE"""),3.0)</f>
        <v>3</v>
      </c>
      <c r="BD104" s="44">
        <f>IFERROR(__xludf.DUMMYFUNCTION("""COMPUTED_VALUE"""),3.5)</f>
        <v>3.5</v>
      </c>
      <c r="BE104" s="44">
        <f>IFERROR(__xludf.DUMMYFUNCTION("""COMPUTED_VALUE"""),1.0)</f>
        <v>1</v>
      </c>
      <c r="BF104" s="44">
        <f>IFERROR(__xludf.DUMMYFUNCTION("""COMPUTED_VALUE"""),3.25)</f>
        <v>3.25</v>
      </c>
    </row>
    <row r="105">
      <c r="A105" s="40">
        <v>46042.0</v>
      </c>
      <c r="B105" s="4" t="s">
        <v>192</v>
      </c>
      <c r="C105" s="4" t="s">
        <v>194</v>
      </c>
      <c r="D105" s="15" t="s">
        <v>93</v>
      </c>
      <c r="E105" s="15">
        <v>0.5</v>
      </c>
      <c r="V105" s="43">
        <f>IFERROR(__xludf.DUMMYFUNCTION("""COMPUTED_VALUE"""),46124.0)</f>
        <v>46124</v>
      </c>
      <c r="W105" s="44"/>
      <c r="X105" s="44"/>
      <c r="Y105" s="44"/>
      <c r="Z105" s="44"/>
      <c r="AU105" s="43">
        <v>46126.0</v>
      </c>
      <c r="AX105" s="15" t="s">
        <v>86</v>
      </c>
      <c r="BB105" s="43">
        <f>IFERROR(__xludf.DUMMYFUNCTION("""COMPUTED_VALUE"""),46126.0)</f>
        <v>46126</v>
      </c>
      <c r="BC105" s="44">
        <f>IFERROR(__xludf.DUMMYFUNCTION("""COMPUTED_VALUE"""),4.0)</f>
        <v>4</v>
      </c>
      <c r="BD105" s="44">
        <f>IFERROR(__xludf.DUMMYFUNCTION("""COMPUTED_VALUE"""),3.0)</f>
        <v>3</v>
      </c>
      <c r="BE105" s="44">
        <f>IFERROR(__xludf.DUMMYFUNCTION("""COMPUTED_VALUE"""),1.0)</f>
        <v>1</v>
      </c>
      <c r="BF105" s="44">
        <f>IFERROR(__xludf.DUMMYFUNCTION("""COMPUTED_VALUE"""),2.5)</f>
        <v>2.5</v>
      </c>
    </row>
    <row r="106">
      <c r="A106" s="40">
        <v>46042.0</v>
      </c>
      <c r="B106" s="4" t="s">
        <v>230</v>
      </c>
      <c r="C106" s="4" t="s">
        <v>194</v>
      </c>
      <c r="D106" s="15" t="s">
        <v>53</v>
      </c>
      <c r="E106" s="15">
        <v>0.5</v>
      </c>
      <c r="V106" s="43">
        <f>IFERROR(__xludf.DUMMYFUNCTION("""COMPUTED_VALUE"""),46125.0)</f>
        <v>46125</v>
      </c>
      <c r="W106" s="44">
        <f>IFERROR(__xludf.DUMMYFUNCTION("""COMPUTED_VALUE"""),3.0)</f>
        <v>3</v>
      </c>
      <c r="X106" s="44">
        <f>IFERROR(__xludf.DUMMYFUNCTION("""COMPUTED_VALUE"""),3.5)</f>
        <v>3.5</v>
      </c>
      <c r="Y106" s="44">
        <f>IFERROR(__xludf.DUMMYFUNCTION("""COMPUTED_VALUE"""),1.0)</f>
        <v>1</v>
      </c>
      <c r="Z106" s="44">
        <f>IFERROR(__xludf.DUMMYFUNCTION("""COMPUTED_VALUE"""),3.25)</f>
        <v>3.25</v>
      </c>
      <c r="AU106" s="43">
        <v>46127.0</v>
      </c>
      <c r="AX106" s="15" t="s">
        <v>86</v>
      </c>
      <c r="BB106" s="43">
        <f>IFERROR(__xludf.DUMMYFUNCTION("""COMPUTED_VALUE"""),46127.0)</f>
        <v>46127</v>
      </c>
      <c r="BC106" s="44">
        <f>IFERROR(__xludf.DUMMYFUNCTION("""COMPUTED_VALUE"""),2.0)</f>
        <v>2</v>
      </c>
      <c r="BD106" s="44">
        <f>IFERROR(__xludf.DUMMYFUNCTION("""COMPUTED_VALUE"""),4.5)</f>
        <v>4.5</v>
      </c>
      <c r="BE106" s="44">
        <f>IFERROR(__xludf.DUMMYFUNCTION("""COMPUTED_VALUE"""),2.5)</f>
        <v>2.5</v>
      </c>
      <c r="BF106" s="44">
        <f>IFERROR(__xludf.DUMMYFUNCTION("""COMPUTED_VALUE"""),0.5)</f>
        <v>0.5</v>
      </c>
    </row>
    <row r="107">
      <c r="A107" s="40">
        <v>46042.0</v>
      </c>
      <c r="B107" s="4" t="s">
        <v>224</v>
      </c>
      <c r="C107" s="4" t="s">
        <v>259</v>
      </c>
      <c r="D107" s="15" t="s">
        <v>53</v>
      </c>
      <c r="E107" s="15">
        <v>1.0</v>
      </c>
      <c r="V107" s="43">
        <f>IFERROR(__xludf.DUMMYFUNCTION("""COMPUTED_VALUE"""),46126.0)</f>
        <v>46126</v>
      </c>
      <c r="W107" s="44">
        <f>IFERROR(__xludf.DUMMYFUNCTION("""COMPUTED_VALUE"""),4.0)</f>
        <v>4</v>
      </c>
      <c r="X107" s="44">
        <f>IFERROR(__xludf.DUMMYFUNCTION("""COMPUTED_VALUE"""),3.0)</f>
        <v>3</v>
      </c>
      <c r="Y107" s="44">
        <f>IFERROR(__xludf.DUMMYFUNCTION("""COMPUTED_VALUE"""),1.0)</f>
        <v>1</v>
      </c>
      <c r="Z107" s="44">
        <f>IFERROR(__xludf.DUMMYFUNCTION("""COMPUTED_VALUE"""),2.5)</f>
        <v>2.5</v>
      </c>
      <c r="AU107" s="43">
        <v>46128.0</v>
      </c>
      <c r="AX107" s="15" t="s">
        <v>86</v>
      </c>
      <c r="BB107" s="43">
        <f>IFERROR(__xludf.DUMMYFUNCTION("""COMPUTED_VALUE"""),46128.0)</f>
        <v>46128</v>
      </c>
      <c r="BC107" s="44">
        <f>IFERROR(__xludf.DUMMYFUNCTION("""COMPUTED_VALUE"""),2.0)</f>
        <v>2</v>
      </c>
      <c r="BD107" s="44">
        <f>IFERROR(__xludf.DUMMYFUNCTION("""COMPUTED_VALUE"""),2.5)</f>
        <v>2.5</v>
      </c>
      <c r="BE107" s="44">
        <f>IFERROR(__xludf.DUMMYFUNCTION("""COMPUTED_VALUE"""),1.25)</f>
        <v>1.25</v>
      </c>
      <c r="BF107" s="44">
        <f>IFERROR(__xludf.DUMMYFUNCTION("""COMPUTED_VALUE"""),1.5)</f>
        <v>1.5</v>
      </c>
    </row>
    <row r="108">
      <c r="A108" s="40">
        <v>46042.0</v>
      </c>
      <c r="B108" s="4" t="s">
        <v>221</v>
      </c>
      <c r="C108" s="4" t="s">
        <v>259</v>
      </c>
      <c r="D108" s="15" t="s">
        <v>53</v>
      </c>
      <c r="E108" s="15">
        <v>1.0</v>
      </c>
      <c r="V108" s="43">
        <f>IFERROR(__xludf.DUMMYFUNCTION("""COMPUTED_VALUE"""),46127.0)</f>
        <v>46127</v>
      </c>
      <c r="W108" s="44">
        <f>IFERROR(__xludf.DUMMYFUNCTION("""COMPUTED_VALUE"""),2.0)</f>
        <v>2</v>
      </c>
      <c r="X108" s="44">
        <f>IFERROR(__xludf.DUMMYFUNCTION("""COMPUTED_VALUE"""),4.5)</f>
        <v>4.5</v>
      </c>
      <c r="Y108" s="44">
        <f>IFERROR(__xludf.DUMMYFUNCTION("""COMPUTED_VALUE"""),2.5)</f>
        <v>2.5</v>
      </c>
      <c r="Z108" s="44">
        <f>IFERROR(__xludf.DUMMYFUNCTION("""COMPUTED_VALUE"""),0.5)</f>
        <v>0.5</v>
      </c>
      <c r="AU108" s="43">
        <v>46129.0</v>
      </c>
      <c r="AX108" s="15" t="s">
        <v>86</v>
      </c>
      <c r="BB108" s="43">
        <f>IFERROR(__xludf.DUMMYFUNCTION("""COMPUTED_VALUE"""),46129.0)</f>
        <v>46129</v>
      </c>
      <c r="BC108" s="44">
        <f>IFERROR(__xludf.DUMMYFUNCTION("""COMPUTED_VALUE"""),4.0)</f>
        <v>4</v>
      </c>
      <c r="BD108" s="44">
        <f>IFERROR(__xludf.DUMMYFUNCTION("""COMPUTED_VALUE"""),2.0)</f>
        <v>2</v>
      </c>
      <c r="BE108" s="44">
        <f>IFERROR(__xludf.DUMMYFUNCTION("""COMPUTED_VALUE"""),1.0)</f>
        <v>1</v>
      </c>
      <c r="BF108" s="44">
        <f>IFERROR(__xludf.DUMMYFUNCTION("""COMPUTED_VALUE"""),2.5)</f>
        <v>2.5</v>
      </c>
    </row>
    <row r="109">
      <c r="A109" s="40">
        <v>46042.0</v>
      </c>
      <c r="B109" s="4" t="s">
        <v>180</v>
      </c>
      <c r="C109" s="4" t="s">
        <v>259</v>
      </c>
      <c r="D109" s="15" t="s">
        <v>93</v>
      </c>
      <c r="E109" s="15">
        <v>1.0</v>
      </c>
      <c r="V109" s="43">
        <f>IFERROR(__xludf.DUMMYFUNCTION("""COMPUTED_VALUE"""),46128.0)</f>
        <v>46128</v>
      </c>
      <c r="W109" s="44">
        <f>IFERROR(__xludf.DUMMYFUNCTION("""COMPUTED_VALUE"""),2.0)</f>
        <v>2</v>
      </c>
      <c r="X109" s="44">
        <f>IFERROR(__xludf.DUMMYFUNCTION("""COMPUTED_VALUE"""),2.5)</f>
        <v>2.5</v>
      </c>
      <c r="Y109" s="44">
        <f>IFERROR(__xludf.DUMMYFUNCTION("""COMPUTED_VALUE"""),1.25)</f>
        <v>1.25</v>
      </c>
      <c r="Z109" s="44">
        <f>IFERROR(__xludf.DUMMYFUNCTION("""COMPUTED_VALUE"""),1.5)</f>
        <v>1.5</v>
      </c>
      <c r="AU109" s="43">
        <v>46130.0</v>
      </c>
      <c r="AX109" s="15" t="s">
        <v>86</v>
      </c>
      <c r="BB109" s="43">
        <f>IFERROR(__xludf.DUMMYFUNCTION("""COMPUTED_VALUE"""),46130.0)</f>
        <v>46130</v>
      </c>
      <c r="BC109" s="44"/>
      <c r="BD109" s="44"/>
      <c r="BE109" s="44"/>
      <c r="BF109" s="44"/>
    </row>
    <row r="110">
      <c r="A110" s="40">
        <v>46042.0</v>
      </c>
      <c r="B110" s="4" t="s">
        <v>196</v>
      </c>
      <c r="C110" s="4" t="s">
        <v>194</v>
      </c>
      <c r="D110" s="15" t="s">
        <v>93</v>
      </c>
      <c r="E110" s="15">
        <v>0.5</v>
      </c>
      <c r="V110" s="43">
        <f>IFERROR(__xludf.DUMMYFUNCTION("""COMPUTED_VALUE"""),46129.0)</f>
        <v>46129</v>
      </c>
      <c r="W110" s="44">
        <f>IFERROR(__xludf.DUMMYFUNCTION("""COMPUTED_VALUE"""),4.0)</f>
        <v>4</v>
      </c>
      <c r="X110" s="44">
        <f>IFERROR(__xludf.DUMMYFUNCTION("""COMPUTED_VALUE"""),2.0)</f>
        <v>2</v>
      </c>
      <c r="Y110" s="44">
        <f>IFERROR(__xludf.DUMMYFUNCTION("""COMPUTED_VALUE"""),1.0)</f>
        <v>1</v>
      </c>
      <c r="Z110" s="44">
        <f>IFERROR(__xludf.DUMMYFUNCTION("""COMPUTED_VALUE"""),2.5)</f>
        <v>2.5</v>
      </c>
      <c r="AU110" s="43">
        <v>46131.0</v>
      </c>
      <c r="AX110" s="15" t="s">
        <v>86</v>
      </c>
      <c r="BB110" s="43">
        <f>IFERROR(__xludf.DUMMYFUNCTION("""COMPUTED_VALUE"""),46131.0)</f>
        <v>46131</v>
      </c>
      <c r="BC110" s="44"/>
      <c r="BD110" s="44"/>
      <c r="BE110" s="44"/>
      <c r="BF110" s="44"/>
    </row>
    <row r="111">
      <c r="A111" s="40">
        <v>46042.0</v>
      </c>
      <c r="B111" s="4" t="s">
        <v>208</v>
      </c>
      <c r="C111" s="4" t="s">
        <v>194</v>
      </c>
      <c r="D111" s="15" t="s">
        <v>53</v>
      </c>
      <c r="E111" s="15">
        <v>0.5</v>
      </c>
      <c r="V111" s="43">
        <f>IFERROR(__xludf.DUMMYFUNCTION("""COMPUTED_VALUE"""),46130.0)</f>
        <v>46130</v>
      </c>
      <c r="W111" s="44"/>
      <c r="X111" s="44"/>
      <c r="Y111" s="44"/>
      <c r="Z111" s="44"/>
      <c r="AU111" s="43">
        <v>46132.0</v>
      </c>
      <c r="AX111" s="15" t="s">
        <v>86</v>
      </c>
      <c r="BB111" s="43">
        <f>IFERROR(__xludf.DUMMYFUNCTION("""COMPUTED_VALUE"""),46132.0)</f>
        <v>46132</v>
      </c>
      <c r="BC111" s="44">
        <f>IFERROR(__xludf.DUMMYFUNCTION("""COMPUTED_VALUE"""),1.0)</f>
        <v>1</v>
      </c>
      <c r="BD111" s="44">
        <f>IFERROR(__xludf.DUMMYFUNCTION("""COMPUTED_VALUE"""),2.5)</f>
        <v>2.5</v>
      </c>
      <c r="BE111" s="44">
        <f>IFERROR(__xludf.DUMMYFUNCTION("""COMPUTED_VALUE"""),1.5)</f>
        <v>1.5</v>
      </c>
      <c r="BF111" s="44">
        <f>IFERROR(__xludf.DUMMYFUNCTION("""COMPUTED_VALUE"""),2.0)</f>
        <v>2</v>
      </c>
    </row>
    <row r="112">
      <c r="A112" s="40">
        <v>46043.0</v>
      </c>
      <c r="B112" s="4" t="s">
        <v>189</v>
      </c>
      <c r="C112" s="4" t="s">
        <v>259</v>
      </c>
      <c r="D112" s="15" t="s">
        <v>93</v>
      </c>
      <c r="E112" s="15">
        <v>1.0</v>
      </c>
      <c r="V112" s="43">
        <f>IFERROR(__xludf.DUMMYFUNCTION("""COMPUTED_VALUE"""),46131.0)</f>
        <v>46131</v>
      </c>
      <c r="W112" s="44"/>
      <c r="X112" s="44"/>
      <c r="Y112" s="44"/>
      <c r="Z112" s="44"/>
      <c r="AU112" s="43">
        <v>46133.0</v>
      </c>
      <c r="AX112" s="15" t="s">
        <v>86</v>
      </c>
      <c r="BB112" s="43">
        <f>IFERROR(__xludf.DUMMYFUNCTION("""COMPUTED_VALUE"""),46133.0)</f>
        <v>46133</v>
      </c>
      <c r="BC112" s="44">
        <f>IFERROR(__xludf.DUMMYFUNCTION("""COMPUTED_VALUE"""),2.0)</f>
        <v>2</v>
      </c>
      <c r="BD112" s="44">
        <f>IFERROR(__xludf.DUMMYFUNCTION("""COMPUTED_VALUE"""),2.0)</f>
        <v>2</v>
      </c>
      <c r="BE112" s="44">
        <f>IFERROR(__xludf.DUMMYFUNCTION("""COMPUTED_VALUE"""),2.0)</f>
        <v>2</v>
      </c>
      <c r="BF112" s="44">
        <f>IFERROR(__xludf.DUMMYFUNCTION("""COMPUTED_VALUE"""),1.0)</f>
        <v>1</v>
      </c>
    </row>
    <row r="113">
      <c r="A113" s="40">
        <v>46043.0</v>
      </c>
      <c r="B113" s="4" t="s">
        <v>173</v>
      </c>
      <c r="C113" s="4" t="s">
        <v>194</v>
      </c>
      <c r="D113" s="15" t="s">
        <v>93</v>
      </c>
      <c r="E113" s="15">
        <v>0.5</v>
      </c>
      <c r="V113" s="43">
        <f>IFERROR(__xludf.DUMMYFUNCTION("""COMPUTED_VALUE"""),46132.0)</f>
        <v>46132</v>
      </c>
      <c r="W113" s="44">
        <f>IFERROR(__xludf.DUMMYFUNCTION("""COMPUTED_VALUE"""),1.0)</f>
        <v>1</v>
      </c>
      <c r="X113" s="44">
        <f>IFERROR(__xludf.DUMMYFUNCTION("""COMPUTED_VALUE"""),2.5)</f>
        <v>2.5</v>
      </c>
      <c r="Y113" s="44">
        <f>IFERROR(__xludf.DUMMYFUNCTION("""COMPUTED_VALUE"""),1.5)</f>
        <v>1.5</v>
      </c>
      <c r="Z113" s="44">
        <f>IFERROR(__xludf.DUMMYFUNCTION("""COMPUTED_VALUE"""),2.0)</f>
        <v>2</v>
      </c>
      <c r="AU113" s="43">
        <v>46134.0</v>
      </c>
      <c r="AX113" s="15" t="s">
        <v>86</v>
      </c>
      <c r="BB113" s="43">
        <f>IFERROR(__xludf.DUMMYFUNCTION("""COMPUTED_VALUE"""),46134.0)</f>
        <v>46134</v>
      </c>
      <c r="BC113" s="44">
        <f>IFERROR(__xludf.DUMMYFUNCTION("""COMPUTED_VALUE"""),1.75)</f>
        <v>1.75</v>
      </c>
      <c r="BD113" s="44">
        <f>IFERROR(__xludf.DUMMYFUNCTION("""COMPUTED_VALUE"""),0.5)</f>
        <v>0.5</v>
      </c>
      <c r="BE113" s="44">
        <f>IFERROR(__xludf.DUMMYFUNCTION("""COMPUTED_VALUE"""),3.5)</f>
        <v>3.5</v>
      </c>
      <c r="BF113" s="44">
        <f>IFERROR(__xludf.DUMMYFUNCTION("""COMPUTED_VALUE"""),1.5)</f>
        <v>1.5</v>
      </c>
    </row>
    <row r="114">
      <c r="A114" s="40">
        <v>46043.0</v>
      </c>
      <c r="B114" s="4" t="s">
        <v>170</v>
      </c>
      <c r="C114" s="4" t="s">
        <v>194</v>
      </c>
      <c r="D114" s="15" t="s">
        <v>93</v>
      </c>
      <c r="E114" s="15">
        <v>0.5</v>
      </c>
      <c r="V114" s="43">
        <f>IFERROR(__xludf.DUMMYFUNCTION("""COMPUTED_VALUE"""),46133.0)</f>
        <v>46133</v>
      </c>
      <c r="W114" s="44">
        <f>IFERROR(__xludf.DUMMYFUNCTION("""COMPUTED_VALUE"""),2.0)</f>
        <v>2</v>
      </c>
      <c r="X114" s="44">
        <f>IFERROR(__xludf.DUMMYFUNCTION("""COMPUTED_VALUE"""),2.0)</f>
        <v>2</v>
      </c>
      <c r="Y114" s="44">
        <f>IFERROR(__xludf.DUMMYFUNCTION("""COMPUTED_VALUE"""),2.0)</f>
        <v>2</v>
      </c>
      <c r="Z114" s="44">
        <f>IFERROR(__xludf.DUMMYFUNCTION("""COMPUTED_VALUE"""),1.0)</f>
        <v>1</v>
      </c>
      <c r="AU114" s="43">
        <v>46135.0</v>
      </c>
      <c r="AX114" s="15" t="s">
        <v>86</v>
      </c>
      <c r="BB114" s="43">
        <f>IFERROR(__xludf.DUMMYFUNCTION("""COMPUTED_VALUE"""),46135.0)</f>
        <v>46135</v>
      </c>
      <c r="BC114" s="44">
        <f>IFERROR(__xludf.DUMMYFUNCTION("""COMPUTED_VALUE"""),1.5)</f>
        <v>1.5</v>
      </c>
      <c r="BD114" s="44">
        <f>IFERROR(__xludf.DUMMYFUNCTION("""COMPUTED_VALUE"""),2.0)</f>
        <v>2</v>
      </c>
      <c r="BE114" s="44">
        <f>IFERROR(__xludf.DUMMYFUNCTION("""COMPUTED_VALUE"""),1.75)</f>
        <v>1.75</v>
      </c>
      <c r="BF114" s="44">
        <f>IFERROR(__xludf.DUMMYFUNCTION("""COMPUTED_VALUE"""),1.75)</f>
        <v>1.75</v>
      </c>
    </row>
    <row r="115">
      <c r="A115" s="40">
        <v>46043.0</v>
      </c>
      <c r="B115" s="4" t="s">
        <v>224</v>
      </c>
      <c r="C115" s="4" t="s">
        <v>194</v>
      </c>
      <c r="D115" s="15" t="s">
        <v>53</v>
      </c>
      <c r="E115" s="15">
        <v>0.5</v>
      </c>
      <c r="V115" s="43">
        <f>IFERROR(__xludf.DUMMYFUNCTION("""COMPUTED_VALUE"""),46134.0)</f>
        <v>46134</v>
      </c>
      <c r="W115" s="44">
        <f>IFERROR(__xludf.DUMMYFUNCTION("""COMPUTED_VALUE"""),1.75)</f>
        <v>1.75</v>
      </c>
      <c r="X115" s="44">
        <f>IFERROR(__xludf.DUMMYFUNCTION("""COMPUTED_VALUE"""),0.5)</f>
        <v>0.5</v>
      </c>
      <c r="Y115" s="44">
        <f>IFERROR(__xludf.DUMMYFUNCTION("""COMPUTED_VALUE"""),3.5)</f>
        <v>3.5</v>
      </c>
      <c r="Z115" s="44">
        <f>IFERROR(__xludf.DUMMYFUNCTION("""COMPUTED_VALUE"""),1.5)</f>
        <v>1.5</v>
      </c>
      <c r="AU115" s="43">
        <v>46136.0</v>
      </c>
      <c r="AX115" s="15" t="s">
        <v>86</v>
      </c>
      <c r="BB115" s="43">
        <f>IFERROR(__xludf.DUMMYFUNCTION("""COMPUTED_VALUE"""),46136.0)</f>
        <v>46136</v>
      </c>
      <c r="BC115" s="44">
        <f>IFERROR(__xludf.DUMMYFUNCTION("""COMPUTED_VALUE"""),2.0)</f>
        <v>2</v>
      </c>
      <c r="BD115" s="44">
        <f>IFERROR(__xludf.DUMMYFUNCTION("""COMPUTED_VALUE"""),4.5)</f>
        <v>4.5</v>
      </c>
      <c r="BE115" s="44"/>
      <c r="BF115" s="44">
        <f>IFERROR(__xludf.DUMMYFUNCTION("""COMPUTED_VALUE"""),1.0)</f>
        <v>1</v>
      </c>
    </row>
    <row r="116">
      <c r="A116" s="40">
        <v>46043.0</v>
      </c>
      <c r="B116" s="4" t="s">
        <v>233</v>
      </c>
      <c r="C116" s="4" t="s">
        <v>194</v>
      </c>
      <c r="D116" s="15" t="s">
        <v>53</v>
      </c>
      <c r="E116" s="15">
        <v>0.5</v>
      </c>
      <c r="V116" s="43">
        <f>IFERROR(__xludf.DUMMYFUNCTION("""COMPUTED_VALUE"""),46135.0)</f>
        <v>46135</v>
      </c>
      <c r="W116" s="44">
        <f>IFERROR(__xludf.DUMMYFUNCTION("""COMPUTED_VALUE"""),1.5)</f>
        <v>1.5</v>
      </c>
      <c r="X116" s="44">
        <f>IFERROR(__xludf.DUMMYFUNCTION("""COMPUTED_VALUE"""),2.0)</f>
        <v>2</v>
      </c>
      <c r="Y116" s="44">
        <f>IFERROR(__xludf.DUMMYFUNCTION("""COMPUTED_VALUE"""),1.75)</f>
        <v>1.75</v>
      </c>
      <c r="Z116" s="44">
        <f>IFERROR(__xludf.DUMMYFUNCTION("""COMPUTED_VALUE"""),1.75)</f>
        <v>1.75</v>
      </c>
      <c r="AU116" s="43">
        <v>46137.0</v>
      </c>
      <c r="AX116" s="15" t="s">
        <v>86</v>
      </c>
      <c r="BB116" s="43">
        <f>IFERROR(__xludf.DUMMYFUNCTION("""COMPUTED_VALUE"""),46137.0)</f>
        <v>46137</v>
      </c>
      <c r="BC116" s="44"/>
      <c r="BD116" s="44"/>
      <c r="BE116" s="44"/>
      <c r="BF116" s="44"/>
    </row>
    <row r="117">
      <c r="A117" s="40">
        <v>46043.0</v>
      </c>
      <c r="B117" s="4" t="s">
        <v>48</v>
      </c>
      <c r="C117" s="4" t="s">
        <v>259</v>
      </c>
      <c r="D117" s="15" t="s">
        <v>38</v>
      </c>
      <c r="E117" s="15">
        <v>1.0</v>
      </c>
      <c r="V117" s="43">
        <f>IFERROR(__xludf.DUMMYFUNCTION("""COMPUTED_VALUE"""),46136.0)</f>
        <v>46136</v>
      </c>
      <c r="W117" s="44">
        <f>IFERROR(__xludf.DUMMYFUNCTION("""COMPUTED_VALUE"""),2.0)</f>
        <v>2</v>
      </c>
      <c r="X117" s="44">
        <f>IFERROR(__xludf.DUMMYFUNCTION("""COMPUTED_VALUE"""),4.5)</f>
        <v>4.5</v>
      </c>
      <c r="Y117" s="44"/>
      <c r="Z117" s="44">
        <f>IFERROR(__xludf.DUMMYFUNCTION("""COMPUTED_VALUE"""),1.0)</f>
        <v>1</v>
      </c>
      <c r="AU117" s="43">
        <v>46138.0</v>
      </c>
      <c r="AX117" s="15" t="s">
        <v>86</v>
      </c>
      <c r="BB117" s="43">
        <f>IFERROR(__xludf.DUMMYFUNCTION("""COMPUTED_VALUE"""),46138.0)</f>
        <v>46138</v>
      </c>
      <c r="BC117" s="44"/>
      <c r="BD117" s="44"/>
      <c r="BE117" s="44"/>
      <c r="BF117" s="44"/>
    </row>
    <row r="118">
      <c r="A118" s="40">
        <v>46043.0</v>
      </c>
      <c r="B118" s="4" t="s">
        <v>205</v>
      </c>
      <c r="C118" s="4" t="s">
        <v>259</v>
      </c>
      <c r="D118" s="15" t="s">
        <v>53</v>
      </c>
      <c r="E118" s="15">
        <v>1.0</v>
      </c>
      <c r="V118" s="43">
        <f>IFERROR(__xludf.DUMMYFUNCTION("""COMPUTED_VALUE"""),46137.0)</f>
        <v>46137</v>
      </c>
      <c r="W118" s="44"/>
      <c r="X118" s="44"/>
      <c r="Y118" s="44"/>
      <c r="Z118" s="44"/>
      <c r="AU118" s="43">
        <v>46139.0</v>
      </c>
      <c r="AX118" s="15" t="s">
        <v>86</v>
      </c>
      <c r="BB118" s="43">
        <f>IFERROR(__xludf.DUMMYFUNCTION("""COMPUTED_VALUE"""),46139.0)</f>
        <v>46139</v>
      </c>
      <c r="BC118" s="44">
        <f>IFERROR(__xludf.DUMMYFUNCTION("""COMPUTED_VALUE"""),2.5)</f>
        <v>2.5</v>
      </c>
      <c r="BD118" s="44">
        <f>IFERROR(__xludf.DUMMYFUNCTION("""COMPUTED_VALUE"""),4.0)</f>
        <v>4</v>
      </c>
      <c r="BE118" s="44"/>
      <c r="BF118" s="44">
        <f>IFERROR(__xludf.DUMMYFUNCTION("""COMPUTED_VALUE"""),1.5)</f>
        <v>1.5</v>
      </c>
    </row>
    <row r="119">
      <c r="A119" s="40">
        <v>46043.0</v>
      </c>
      <c r="B119" s="4" t="s">
        <v>649</v>
      </c>
      <c r="C119" s="4" t="s">
        <v>259</v>
      </c>
      <c r="D119" s="15" t="s">
        <v>53</v>
      </c>
      <c r="E119" s="15">
        <v>1.0</v>
      </c>
      <c r="V119" s="43">
        <f>IFERROR(__xludf.DUMMYFUNCTION("""COMPUTED_VALUE"""),46138.0)</f>
        <v>46138</v>
      </c>
      <c r="W119" s="44"/>
      <c r="X119" s="44"/>
      <c r="Y119" s="44"/>
      <c r="Z119" s="44"/>
      <c r="AU119" s="43">
        <v>46140.0</v>
      </c>
      <c r="AX119" s="15" t="s">
        <v>86</v>
      </c>
      <c r="BB119" s="43">
        <f>IFERROR(__xludf.DUMMYFUNCTION("""COMPUTED_VALUE"""),46140.0)</f>
        <v>46140</v>
      </c>
      <c r="BC119" s="44">
        <f>IFERROR(__xludf.DUMMYFUNCTION("""COMPUTED_VALUE"""),3.5)</f>
        <v>3.5</v>
      </c>
      <c r="BD119" s="44">
        <f>IFERROR(__xludf.DUMMYFUNCTION("""COMPUTED_VALUE"""),2.0)</f>
        <v>2</v>
      </c>
      <c r="BE119" s="44">
        <f>IFERROR(__xludf.DUMMYFUNCTION("""COMPUTED_VALUE"""),1.5)</f>
        <v>1.5</v>
      </c>
      <c r="BF119" s="44"/>
    </row>
    <row r="120">
      <c r="A120" s="40">
        <v>46043.0</v>
      </c>
      <c r="B120" s="4" t="s">
        <v>218</v>
      </c>
      <c r="C120" s="4" t="s">
        <v>194</v>
      </c>
      <c r="D120" s="15" t="s">
        <v>53</v>
      </c>
      <c r="E120" s="15">
        <v>0.5</v>
      </c>
      <c r="V120" s="43">
        <f>IFERROR(__xludf.DUMMYFUNCTION("""COMPUTED_VALUE"""),46139.0)</f>
        <v>46139</v>
      </c>
      <c r="W120" s="44">
        <f>IFERROR(__xludf.DUMMYFUNCTION("""COMPUTED_VALUE"""),2.5)</f>
        <v>2.5</v>
      </c>
      <c r="X120" s="44">
        <f>IFERROR(__xludf.DUMMYFUNCTION("""COMPUTED_VALUE"""),4.0)</f>
        <v>4</v>
      </c>
      <c r="Y120" s="44"/>
      <c r="Z120" s="44">
        <f>IFERROR(__xludf.DUMMYFUNCTION("""COMPUTED_VALUE"""),1.5)</f>
        <v>1.5</v>
      </c>
      <c r="AU120" s="43">
        <v>46141.0</v>
      </c>
      <c r="AX120" s="15" t="s">
        <v>86</v>
      </c>
      <c r="BB120" s="43">
        <f>IFERROR(__xludf.DUMMYFUNCTION("""COMPUTED_VALUE"""),46141.0)</f>
        <v>46141</v>
      </c>
      <c r="BC120" s="44">
        <f>IFERROR(__xludf.DUMMYFUNCTION("""COMPUTED_VALUE"""),1.5)</f>
        <v>1.5</v>
      </c>
      <c r="BD120" s="44">
        <f>IFERROR(__xludf.DUMMYFUNCTION("""COMPUTED_VALUE"""),2.0)</f>
        <v>2</v>
      </c>
      <c r="BE120" s="44">
        <f>IFERROR(__xludf.DUMMYFUNCTION("""COMPUTED_VALUE"""),1.5)</f>
        <v>1.5</v>
      </c>
      <c r="BF120" s="44">
        <f>IFERROR(__xludf.DUMMYFUNCTION("""COMPUTED_VALUE"""),0.5)</f>
        <v>0.5</v>
      </c>
    </row>
    <row r="121">
      <c r="A121" s="40">
        <v>46043.0</v>
      </c>
      <c r="B121" s="4" t="s">
        <v>221</v>
      </c>
      <c r="C121" s="4" t="s">
        <v>259</v>
      </c>
      <c r="D121" s="15" t="s">
        <v>53</v>
      </c>
      <c r="E121" s="15">
        <v>1.0</v>
      </c>
      <c r="V121" s="43">
        <f>IFERROR(__xludf.DUMMYFUNCTION("""COMPUTED_VALUE"""),46140.0)</f>
        <v>46140</v>
      </c>
      <c r="W121" s="44">
        <f>IFERROR(__xludf.DUMMYFUNCTION("""COMPUTED_VALUE"""),3.5)</f>
        <v>3.5</v>
      </c>
      <c r="X121" s="44">
        <f>IFERROR(__xludf.DUMMYFUNCTION("""COMPUTED_VALUE"""),2.0)</f>
        <v>2</v>
      </c>
      <c r="Y121" s="44">
        <f>IFERROR(__xludf.DUMMYFUNCTION("""COMPUTED_VALUE"""),1.5)</f>
        <v>1.5</v>
      </c>
      <c r="Z121" s="44"/>
      <c r="AU121" s="43">
        <v>46142.0</v>
      </c>
      <c r="AX121" s="15" t="s">
        <v>86</v>
      </c>
      <c r="BB121" s="43">
        <f>IFERROR(__xludf.DUMMYFUNCTION("""COMPUTED_VALUE"""),46142.0)</f>
        <v>46142</v>
      </c>
      <c r="BC121" s="44">
        <f>IFERROR(__xludf.DUMMYFUNCTION("""COMPUTED_VALUE"""),1.0)</f>
        <v>1</v>
      </c>
      <c r="BD121" s="44">
        <f>IFERROR(__xludf.DUMMYFUNCTION("""COMPUTED_VALUE"""),2.5)</f>
        <v>2.5</v>
      </c>
      <c r="BE121" s="44">
        <f>IFERROR(__xludf.DUMMYFUNCTION("""COMPUTED_VALUE"""),1.0)</f>
        <v>1</v>
      </c>
      <c r="BF121" s="44"/>
    </row>
    <row r="122">
      <c r="A122" s="40">
        <v>46043.0</v>
      </c>
      <c r="B122" s="4" t="s">
        <v>196</v>
      </c>
      <c r="C122" s="4" t="s">
        <v>194</v>
      </c>
      <c r="D122" s="15" t="s">
        <v>93</v>
      </c>
      <c r="E122" s="15">
        <v>0.5</v>
      </c>
      <c r="V122" s="43">
        <f>IFERROR(__xludf.DUMMYFUNCTION("""COMPUTED_VALUE"""),46141.0)</f>
        <v>46141</v>
      </c>
      <c r="W122" s="44">
        <f>IFERROR(__xludf.DUMMYFUNCTION("""COMPUTED_VALUE"""),1.5)</f>
        <v>1.5</v>
      </c>
      <c r="X122" s="44">
        <f>IFERROR(__xludf.DUMMYFUNCTION("""COMPUTED_VALUE"""),2.0)</f>
        <v>2</v>
      </c>
      <c r="Y122" s="44">
        <f>IFERROR(__xludf.DUMMYFUNCTION("""COMPUTED_VALUE"""),1.5)</f>
        <v>1.5</v>
      </c>
      <c r="Z122" s="44">
        <f>IFERROR(__xludf.DUMMYFUNCTION("""COMPUTED_VALUE"""),0.5)</f>
        <v>0.5</v>
      </c>
      <c r="AU122" s="43">
        <v>46143.0</v>
      </c>
      <c r="AX122" s="15" t="s">
        <v>86</v>
      </c>
      <c r="BB122" s="43">
        <f>IFERROR(__xludf.DUMMYFUNCTION("""COMPUTED_VALUE"""),46143.0)</f>
        <v>46143</v>
      </c>
      <c r="BC122" s="44">
        <f>IFERROR(__xludf.DUMMYFUNCTION("""COMPUTED_VALUE"""),0.5)</f>
        <v>0.5</v>
      </c>
      <c r="BD122" s="44">
        <f>IFERROR(__xludf.DUMMYFUNCTION("""COMPUTED_VALUE"""),1.5)</f>
        <v>1.5</v>
      </c>
      <c r="BE122" s="44">
        <f>IFERROR(__xludf.DUMMYFUNCTION("""COMPUTED_VALUE"""),1.25)</f>
        <v>1.25</v>
      </c>
      <c r="BF122" s="44"/>
    </row>
    <row r="123">
      <c r="A123" s="40">
        <v>46043.0</v>
      </c>
      <c r="B123" s="4" t="s">
        <v>212</v>
      </c>
      <c r="C123" s="4" t="s">
        <v>259</v>
      </c>
      <c r="D123" s="15" t="s">
        <v>53</v>
      </c>
      <c r="E123" s="15">
        <v>1.0</v>
      </c>
      <c r="V123" s="43">
        <f>IFERROR(__xludf.DUMMYFUNCTION("""COMPUTED_VALUE"""),46142.0)</f>
        <v>46142</v>
      </c>
      <c r="W123" s="44">
        <f>IFERROR(__xludf.DUMMYFUNCTION("""COMPUTED_VALUE"""),1.0)</f>
        <v>1</v>
      </c>
      <c r="X123" s="44">
        <f>IFERROR(__xludf.DUMMYFUNCTION("""COMPUTED_VALUE"""),2.5)</f>
        <v>2.5</v>
      </c>
      <c r="Y123" s="44">
        <f>IFERROR(__xludf.DUMMYFUNCTION("""COMPUTED_VALUE"""),1.0)</f>
        <v>1</v>
      </c>
      <c r="Z123" s="44"/>
      <c r="AU123" s="43">
        <v>46144.0</v>
      </c>
      <c r="AX123" s="15" t="s">
        <v>86</v>
      </c>
      <c r="BB123" s="43">
        <f>IFERROR(__xludf.DUMMYFUNCTION("""COMPUTED_VALUE"""),46144.0)</f>
        <v>46144</v>
      </c>
      <c r="BC123" s="44"/>
      <c r="BD123" s="44"/>
      <c r="BE123" s="44"/>
      <c r="BF123" s="44"/>
    </row>
    <row r="124">
      <c r="A124" s="40">
        <v>46044.0</v>
      </c>
      <c r="B124" s="4" t="s">
        <v>205</v>
      </c>
      <c r="C124" s="4" t="s">
        <v>259</v>
      </c>
      <c r="D124" s="15" t="s">
        <v>53</v>
      </c>
      <c r="E124" s="15">
        <v>1.0</v>
      </c>
      <c r="V124" s="43">
        <f>IFERROR(__xludf.DUMMYFUNCTION("""COMPUTED_VALUE"""),46143.0)</f>
        <v>46143</v>
      </c>
      <c r="W124" s="44">
        <f>IFERROR(__xludf.DUMMYFUNCTION("""COMPUTED_VALUE"""),0.5)</f>
        <v>0.5</v>
      </c>
      <c r="X124" s="44">
        <f>IFERROR(__xludf.DUMMYFUNCTION("""COMPUTED_VALUE"""),1.5)</f>
        <v>1.5</v>
      </c>
      <c r="Y124" s="44">
        <f>IFERROR(__xludf.DUMMYFUNCTION("""COMPUTED_VALUE"""),1.25)</f>
        <v>1.25</v>
      </c>
      <c r="Z124" s="44"/>
      <c r="AU124" s="43">
        <v>46145.0</v>
      </c>
      <c r="AX124" s="15" t="s">
        <v>86</v>
      </c>
      <c r="BB124" s="43">
        <f>IFERROR(__xludf.DUMMYFUNCTION("""COMPUTED_VALUE"""),46145.0)</f>
        <v>46145</v>
      </c>
      <c r="BC124" s="44"/>
      <c r="BD124" s="44"/>
      <c r="BE124" s="44"/>
      <c r="BF124" s="44"/>
    </row>
    <row r="125">
      <c r="A125" s="40">
        <v>46044.0</v>
      </c>
      <c r="B125" s="4" t="s">
        <v>173</v>
      </c>
      <c r="C125" s="4" t="s">
        <v>194</v>
      </c>
      <c r="D125" s="15" t="s">
        <v>93</v>
      </c>
      <c r="E125" s="15">
        <v>0.5</v>
      </c>
      <c r="V125" s="43">
        <f>IFERROR(__xludf.DUMMYFUNCTION("""COMPUTED_VALUE"""),46144.0)</f>
        <v>46144</v>
      </c>
      <c r="W125" s="44"/>
      <c r="X125" s="44"/>
      <c r="Y125" s="44"/>
      <c r="Z125" s="44"/>
      <c r="AU125" s="43">
        <v>46146.0</v>
      </c>
      <c r="AX125" s="15" t="s">
        <v>86</v>
      </c>
      <c r="BB125" s="43">
        <f>IFERROR(__xludf.DUMMYFUNCTION("""COMPUTED_VALUE"""),46146.0)</f>
        <v>46146</v>
      </c>
      <c r="BC125" s="44">
        <f>IFERROR(__xludf.DUMMYFUNCTION("""COMPUTED_VALUE"""),1.5)</f>
        <v>1.5</v>
      </c>
      <c r="BD125" s="44">
        <f>IFERROR(__xludf.DUMMYFUNCTION("""COMPUTED_VALUE"""),2.0)</f>
        <v>2</v>
      </c>
      <c r="BE125" s="44">
        <f>IFERROR(__xludf.DUMMYFUNCTION("""COMPUTED_VALUE"""),0.5)</f>
        <v>0.5</v>
      </c>
      <c r="BF125" s="44">
        <f>IFERROR(__xludf.DUMMYFUNCTION("""COMPUTED_VALUE"""),2.5)</f>
        <v>2.5</v>
      </c>
    </row>
    <row r="126">
      <c r="A126" s="40">
        <v>46044.0</v>
      </c>
      <c r="B126" s="4" t="s">
        <v>176</v>
      </c>
      <c r="C126" s="4" t="s">
        <v>194</v>
      </c>
      <c r="D126" s="15" t="s">
        <v>93</v>
      </c>
      <c r="E126" s="15">
        <v>0.5</v>
      </c>
      <c r="V126" s="43">
        <f>IFERROR(__xludf.DUMMYFUNCTION("""COMPUTED_VALUE"""),46145.0)</f>
        <v>46145</v>
      </c>
      <c r="W126" s="44"/>
      <c r="X126" s="44"/>
      <c r="Y126" s="44"/>
      <c r="Z126" s="44"/>
      <c r="AU126" s="43">
        <v>46147.0</v>
      </c>
      <c r="AX126" s="15" t="s">
        <v>86</v>
      </c>
      <c r="BB126" s="43">
        <f>IFERROR(__xludf.DUMMYFUNCTION("""COMPUTED_VALUE"""),46147.0)</f>
        <v>46147</v>
      </c>
      <c r="BC126" s="44">
        <f>IFERROR(__xludf.DUMMYFUNCTION("""COMPUTED_VALUE"""),3.0)</f>
        <v>3</v>
      </c>
      <c r="BD126" s="44">
        <f>IFERROR(__xludf.DUMMYFUNCTION("""COMPUTED_VALUE"""),2.5)</f>
        <v>2.5</v>
      </c>
      <c r="BE126" s="44">
        <f>IFERROR(__xludf.DUMMYFUNCTION("""COMPUTED_VALUE"""),2.0)</f>
        <v>2</v>
      </c>
      <c r="BF126" s="44">
        <f>IFERROR(__xludf.DUMMYFUNCTION("""COMPUTED_VALUE"""),1.5)</f>
        <v>1.5</v>
      </c>
    </row>
    <row r="127">
      <c r="A127" s="40">
        <v>46044.0</v>
      </c>
      <c r="B127" s="4" t="s">
        <v>173</v>
      </c>
      <c r="C127" s="4" t="s">
        <v>194</v>
      </c>
      <c r="D127" s="15" t="s">
        <v>93</v>
      </c>
      <c r="E127" s="15">
        <v>0.5</v>
      </c>
      <c r="V127" s="43">
        <f>IFERROR(__xludf.DUMMYFUNCTION("""COMPUTED_VALUE"""),46146.0)</f>
        <v>46146</v>
      </c>
      <c r="W127" s="44">
        <f>IFERROR(__xludf.DUMMYFUNCTION("""COMPUTED_VALUE"""),1.5)</f>
        <v>1.5</v>
      </c>
      <c r="X127" s="44">
        <f>IFERROR(__xludf.DUMMYFUNCTION("""COMPUTED_VALUE"""),2.0)</f>
        <v>2</v>
      </c>
      <c r="Y127" s="44">
        <f>IFERROR(__xludf.DUMMYFUNCTION("""COMPUTED_VALUE"""),0.5)</f>
        <v>0.5</v>
      </c>
      <c r="Z127" s="44">
        <f>IFERROR(__xludf.DUMMYFUNCTION("""COMPUTED_VALUE"""),2.5)</f>
        <v>2.5</v>
      </c>
      <c r="AU127" s="43">
        <v>46148.0</v>
      </c>
      <c r="AX127" s="15" t="s">
        <v>86</v>
      </c>
      <c r="BB127" s="43">
        <f>IFERROR(__xludf.DUMMYFUNCTION("""COMPUTED_VALUE"""),46148.0)</f>
        <v>46148</v>
      </c>
      <c r="BC127" s="44">
        <f>IFERROR(__xludf.DUMMYFUNCTION("""COMPUTED_VALUE"""),1.0)</f>
        <v>1</v>
      </c>
      <c r="BD127" s="44">
        <f>IFERROR(__xludf.DUMMYFUNCTION("""COMPUTED_VALUE"""),1.0)</f>
        <v>1</v>
      </c>
      <c r="BE127" s="44">
        <f>IFERROR(__xludf.DUMMYFUNCTION("""COMPUTED_VALUE"""),3.5)</f>
        <v>3.5</v>
      </c>
      <c r="BF127" s="44">
        <f>IFERROR(__xludf.DUMMYFUNCTION("""COMPUTED_VALUE"""),0.5)</f>
        <v>0.5</v>
      </c>
    </row>
    <row r="128">
      <c r="A128" s="40">
        <v>46044.0</v>
      </c>
      <c r="B128" s="4" t="s">
        <v>192</v>
      </c>
      <c r="C128" s="4" t="s">
        <v>291</v>
      </c>
      <c r="D128" s="15" t="s">
        <v>93</v>
      </c>
      <c r="E128" s="15">
        <v>1.5</v>
      </c>
      <c r="V128" s="43">
        <f>IFERROR(__xludf.DUMMYFUNCTION("""COMPUTED_VALUE"""),46147.0)</f>
        <v>46147</v>
      </c>
      <c r="W128" s="44">
        <f>IFERROR(__xludf.DUMMYFUNCTION("""COMPUTED_VALUE"""),3.0)</f>
        <v>3</v>
      </c>
      <c r="X128" s="44">
        <f>IFERROR(__xludf.DUMMYFUNCTION("""COMPUTED_VALUE"""),2.5)</f>
        <v>2.5</v>
      </c>
      <c r="Y128" s="44">
        <f>IFERROR(__xludf.DUMMYFUNCTION("""COMPUTED_VALUE"""),2.0)</f>
        <v>2</v>
      </c>
      <c r="Z128" s="44">
        <f>IFERROR(__xludf.DUMMYFUNCTION("""COMPUTED_VALUE"""),1.5)</f>
        <v>1.5</v>
      </c>
      <c r="AU128" s="43">
        <v>46149.0</v>
      </c>
      <c r="AX128" s="15" t="s">
        <v>86</v>
      </c>
      <c r="BB128" s="43">
        <f>IFERROR(__xludf.DUMMYFUNCTION("""COMPUTED_VALUE"""),46149.0)</f>
        <v>46149</v>
      </c>
      <c r="BC128" s="44">
        <f>IFERROR(__xludf.DUMMYFUNCTION("""COMPUTED_VALUE"""),1.0)</f>
        <v>1</v>
      </c>
      <c r="BD128" s="44">
        <f>IFERROR(__xludf.DUMMYFUNCTION("""COMPUTED_VALUE"""),0.5)</f>
        <v>0.5</v>
      </c>
      <c r="BE128" s="44">
        <f>IFERROR(__xludf.DUMMYFUNCTION("""COMPUTED_VALUE"""),5.5)</f>
        <v>5.5</v>
      </c>
      <c r="BF128" s="44">
        <f>IFERROR(__xludf.DUMMYFUNCTION("""COMPUTED_VALUE"""),0.5)</f>
        <v>0.5</v>
      </c>
    </row>
    <row r="129">
      <c r="A129" s="40">
        <v>46044.0</v>
      </c>
      <c r="B129" s="4" t="s">
        <v>212</v>
      </c>
      <c r="C129" s="4" t="s">
        <v>291</v>
      </c>
      <c r="D129" s="15" t="s">
        <v>53</v>
      </c>
      <c r="E129" s="15">
        <v>1.5</v>
      </c>
      <c r="V129" s="43">
        <f>IFERROR(__xludf.DUMMYFUNCTION("""COMPUTED_VALUE"""),46148.0)</f>
        <v>46148</v>
      </c>
      <c r="W129" s="44">
        <f>IFERROR(__xludf.DUMMYFUNCTION("""COMPUTED_VALUE"""),1.0)</f>
        <v>1</v>
      </c>
      <c r="X129" s="44">
        <f>IFERROR(__xludf.DUMMYFUNCTION("""COMPUTED_VALUE"""),1.0)</f>
        <v>1</v>
      </c>
      <c r="Y129" s="44">
        <f>IFERROR(__xludf.DUMMYFUNCTION("""COMPUTED_VALUE"""),3.5)</f>
        <v>3.5</v>
      </c>
      <c r="Z129" s="44">
        <f>IFERROR(__xludf.DUMMYFUNCTION("""COMPUTED_VALUE"""),0.5)</f>
        <v>0.5</v>
      </c>
      <c r="AU129" s="43">
        <v>46150.0</v>
      </c>
      <c r="AX129" s="15" t="s">
        <v>86</v>
      </c>
      <c r="BB129" s="43">
        <f>IFERROR(__xludf.DUMMYFUNCTION("""COMPUTED_VALUE"""),46150.0)</f>
        <v>46150</v>
      </c>
      <c r="BC129" s="44">
        <f>IFERROR(__xludf.DUMMYFUNCTION("""COMPUTED_VALUE"""),0.5)</f>
        <v>0.5</v>
      </c>
      <c r="BD129" s="44"/>
      <c r="BE129" s="44">
        <f>IFERROR(__xludf.DUMMYFUNCTION("""COMPUTED_VALUE"""),5.0)</f>
        <v>5</v>
      </c>
      <c r="BF129" s="44">
        <f>IFERROR(__xludf.DUMMYFUNCTION("""COMPUTED_VALUE"""),0.5)</f>
        <v>0.5</v>
      </c>
    </row>
    <row r="130">
      <c r="A130" s="40">
        <v>46044.0</v>
      </c>
      <c r="B130" s="4" t="s">
        <v>58</v>
      </c>
      <c r="C130" s="4" t="s">
        <v>259</v>
      </c>
      <c r="D130" s="15" t="s">
        <v>38</v>
      </c>
      <c r="E130" s="15">
        <v>1.0</v>
      </c>
      <c r="V130" s="43">
        <f>IFERROR(__xludf.DUMMYFUNCTION("""COMPUTED_VALUE"""),46149.0)</f>
        <v>46149</v>
      </c>
      <c r="W130" s="44">
        <f>IFERROR(__xludf.DUMMYFUNCTION("""COMPUTED_VALUE"""),1.0)</f>
        <v>1</v>
      </c>
      <c r="X130" s="44">
        <f>IFERROR(__xludf.DUMMYFUNCTION("""COMPUTED_VALUE"""),0.5)</f>
        <v>0.5</v>
      </c>
      <c r="Y130" s="44">
        <f>IFERROR(__xludf.DUMMYFUNCTION("""COMPUTED_VALUE"""),5.5)</f>
        <v>5.5</v>
      </c>
      <c r="Z130" s="44">
        <f>IFERROR(__xludf.DUMMYFUNCTION("""COMPUTED_VALUE"""),0.5)</f>
        <v>0.5</v>
      </c>
      <c r="AU130" s="43">
        <v>46151.0</v>
      </c>
      <c r="AX130" s="15" t="s">
        <v>86</v>
      </c>
      <c r="BB130" s="43">
        <f>IFERROR(__xludf.DUMMYFUNCTION("""COMPUTED_VALUE"""),46151.0)</f>
        <v>46151</v>
      </c>
      <c r="BC130" s="44"/>
      <c r="BD130" s="44"/>
      <c r="BE130" s="44"/>
      <c r="BF130" s="44"/>
    </row>
    <row r="131">
      <c r="A131" s="40">
        <v>46044.0</v>
      </c>
      <c r="B131" s="4" t="s">
        <v>208</v>
      </c>
      <c r="C131" s="4" t="s">
        <v>194</v>
      </c>
      <c r="D131" s="15" t="s">
        <v>53</v>
      </c>
      <c r="E131" s="15">
        <v>0.5</v>
      </c>
      <c r="V131" s="43">
        <f>IFERROR(__xludf.DUMMYFUNCTION("""COMPUTED_VALUE"""),46150.0)</f>
        <v>46150</v>
      </c>
      <c r="W131" s="44">
        <f>IFERROR(__xludf.DUMMYFUNCTION("""COMPUTED_VALUE"""),0.5)</f>
        <v>0.5</v>
      </c>
      <c r="X131" s="44"/>
      <c r="Y131" s="44">
        <f>IFERROR(__xludf.DUMMYFUNCTION("""COMPUTED_VALUE"""),5.0)</f>
        <v>5</v>
      </c>
      <c r="Z131" s="44">
        <f>IFERROR(__xludf.DUMMYFUNCTION("""COMPUTED_VALUE"""),0.5)</f>
        <v>0.5</v>
      </c>
      <c r="AU131" s="43">
        <v>46152.0</v>
      </c>
      <c r="AX131" s="15" t="s">
        <v>86</v>
      </c>
      <c r="BB131" s="43">
        <f>IFERROR(__xludf.DUMMYFUNCTION("""COMPUTED_VALUE"""),46152.0)</f>
        <v>46152</v>
      </c>
      <c r="BC131" s="44"/>
      <c r="BD131" s="44"/>
      <c r="BE131" s="44"/>
      <c r="BF131" s="44"/>
    </row>
    <row r="132">
      <c r="A132" s="40">
        <v>46044.0</v>
      </c>
      <c r="B132" s="4" t="s">
        <v>170</v>
      </c>
      <c r="C132" s="4" t="s">
        <v>194</v>
      </c>
      <c r="D132" s="15" t="s">
        <v>93</v>
      </c>
      <c r="E132" s="15">
        <v>0.5</v>
      </c>
      <c r="V132" s="43">
        <f>IFERROR(__xludf.DUMMYFUNCTION("""COMPUTED_VALUE"""),46151.0)</f>
        <v>46151</v>
      </c>
      <c r="W132" s="44"/>
      <c r="X132" s="44"/>
      <c r="Y132" s="44"/>
      <c r="Z132" s="44"/>
      <c r="AU132" s="43">
        <v>46153.0</v>
      </c>
      <c r="AX132" s="15" t="s">
        <v>86</v>
      </c>
      <c r="BB132" s="43">
        <f>IFERROR(__xludf.DUMMYFUNCTION("""COMPUTED_VALUE"""),46153.0)</f>
        <v>46153</v>
      </c>
      <c r="BC132" s="44">
        <f>IFERROR(__xludf.DUMMYFUNCTION("""COMPUTED_VALUE"""),3.0)</f>
        <v>3</v>
      </c>
      <c r="BD132" s="44"/>
      <c r="BE132" s="44">
        <f>IFERROR(__xludf.DUMMYFUNCTION("""COMPUTED_VALUE"""),1.25)</f>
        <v>1.25</v>
      </c>
      <c r="BF132" s="44">
        <f>IFERROR(__xludf.DUMMYFUNCTION("""COMPUTED_VALUE"""),2.0)</f>
        <v>2</v>
      </c>
    </row>
    <row r="133">
      <c r="A133" s="40">
        <v>46044.0</v>
      </c>
      <c r="B133" s="4" t="s">
        <v>173</v>
      </c>
      <c r="C133" s="4" t="s">
        <v>194</v>
      </c>
      <c r="D133" s="15" t="s">
        <v>93</v>
      </c>
      <c r="E133" s="15">
        <v>0.5</v>
      </c>
      <c r="V133" s="43">
        <f>IFERROR(__xludf.DUMMYFUNCTION("""COMPUTED_VALUE"""),46152.0)</f>
        <v>46152</v>
      </c>
      <c r="W133" s="44"/>
      <c r="X133" s="44"/>
      <c r="Y133" s="44"/>
      <c r="Z133" s="44"/>
      <c r="AU133" s="43">
        <v>46154.0</v>
      </c>
      <c r="AX133" s="15" t="s">
        <v>86</v>
      </c>
      <c r="BB133" s="43">
        <f>IFERROR(__xludf.DUMMYFUNCTION("""COMPUTED_VALUE"""),46154.0)</f>
        <v>46154</v>
      </c>
      <c r="BC133" s="44">
        <f>IFERROR(__xludf.DUMMYFUNCTION("""COMPUTED_VALUE"""),4.5)</f>
        <v>4.5</v>
      </c>
      <c r="BD133" s="44"/>
      <c r="BE133" s="44">
        <f>IFERROR(__xludf.DUMMYFUNCTION("""COMPUTED_VALUE"""),1.5)</f>
        <v>1.5</v>
      </c>
      <c r="BF133" s="44">
        <f>IFERROR(__xludf.DUMMYFUNCTION("""COMPUTED_VALUE"""),3.0)</f>
        <v>3</v>
      </c>
    </row>
    <row r="134">
      <c r="A134" s="40">
        <v>46044.0</v>
      </c>
      <c r="B134" s="4" t="s">
        <v>196</v>
      </c>
      <c r="C134" s="4" t="s">
        <v>194</v>
      </c>
      <c r="D134" s="15" t="s">
        <v>93</v>
      </c>
      <c r="E134" s="15">
        <v>0.5</v>
      </c>
      <c r="V134" s="43">
        <f>IFERROR(__xludf.DUMMYFUNCTION("""COMPUTED_VALUE"""),46153.0)</f>
        <v>46153</v>
      </c>
      <c r="W134" s="44">
        <f>IFERROR(__xludf.DUMMYFUNCTION("""COMPUTED_VALUE"""),3.0)</f>
        <v>3</v>
      </c>
      <c r="X134" s="44"/>
      <c r="Y134" s="44">
        <f>IFERROR(__xludf.DUMMYFUNCTION("""COMPUTED_VALUE"""),1.25)</f>
        <v>1.25</v>
      </c>
      <c r="Z134" s="44">
        <f>IFERROR(__xludf.DUMMYFUNCTION("""COMPUTED_VALUE"""),2.0)</f>
        <v>2</v>
      </c>
      <c r="AU134" s="43">
        <v>46155.0</v>
      </c>
      <c r="AX134" s="15" t="s">
        <v>86</v>
      </c>
      <c r="BB134" s="43">
        <f>IFERROR(__xludf.DUMMYFUNCTION("""COMPUTED_VALUE"""),46155.0)</f>
        <v>46155</v>
      </c>
      <c r="BC134" s="44">
        <f>IFERROR(__xludf.DUMMYFUNCTION("""COMPUTED_VALUE"""),2.0)</f>
        <v>2</v>
      </c>
      <c r="BD134" s="44"/>
      <c r="BE134" s="44">
        <f>IFERROR(__xludf.DUMMYFUNCTION("""COMPUTED_VALUE"""),2.5)</f>
        <v>2.5</v>
      </c>
      <c r="BF134" s="44">
        <f>IFERROR(__xludf.DUMMYFUNCTION("""COMPUTED_VALUE"""),3.5)</f>
        <v>3.5</v>
      </c>
    </row>
    <row r="135">
      <c r="A135" s="40">
        <v>46044.0</v>
      </c>
      <c r="B135" s="4" t="s">
        <v>221</v>
      </c>
      <c r="C135" s="4" t="s">
        <v>194</v>
      </c>
      <c r="D135" s="15" t="s">
        <v>53</v>
      </c>
      <c r="E135" s="15">
        <v>0.5</v>
      </c>
      <c r="V135" s="43">
        <f>IFERROR(__xludf.DUMMYFUNCTION("""COMPUTED_VALUE"""),46154.0)</f>
        <v>46154</v>
      </c>
      <c r="W135" s="44">
        <f>IFERROR(__xludf.DUMMYFUNCTION("""COMPUTED_VALUE"""),4.5)</f>
        <v>4.5</v>
      </c>
      <c r="X135" s="44"/>
      <c r="Y135" s="44">
        <f>IFERROR(__xludf.DUMMYFUNCTION("""COMPUTED_VALUE"""),1.5)</f>
        <v>1.5</v>
      </c>
      <c r="Z135" s="44">
        <f>IFERROR(__xludf.DUMMYFUNCTION("""COMPUTED_VALUE"""),3.0)</f>
        <v>3</v>
      </c>
      <c r="AU135" s="43">
        <v>46156.0</v>
      </c>
      <c r="AX135" s="15" t="s">
        <v>86</v>
      </c>
      <c r="BB135" s="43">
        <f>IFERROR(__xludf.DUMMYFUNCTION("""COMPUTED_VALUE"""),46156.0)</f>
        <v>46156</v>
      </c>
      <c r="BC135" s="44">
        <f>IFERROR(__xludf.DUMMYFUNCTION("""COMPUTED_VALUE"""),3.0)</f>
        <v>3</v>
      </c>
      <c r="BD135" s="44"/>
      <c r="BE135" s="44">
        <f>IFERROR(__xludf.DUMMYFUNCTION("""COMPUTED_VALUE"""),2.5)</f>
        <v>2.5</v>
      </c>
      <c r="BF135" s="44">
        <f>IFERROR(__xludf.DUMMYFUNCTION("""COMPUTED_VALUE"""),1.0)</f>
        <v>1</v>
      </c>
    </row>
    <row r="136">
      <c r="A136" s="40">
        <v>46045.0</v>
      </c>
      <c r="B136" s="4" t="s">
        <v>205</v>
      </c>
      <c r="C136" s="4" t="s">
        <v>259</v>
      </c>
      <c r="D136" s="15" t="s">
        <v>53</v>
      </c>
      <c r="E136" s="15">
        <v>1.0</v>
      </c>
      <c r="V136" s="43">
        <f>IFERROR(__xludf.DUMMYFUNCTION("""COMPUTED_VALUE"""),46155.0)</f>
        <v>46155</v>
      </c>
      <c r="W136" s="44">
        <f>IFERROR(__xludf.DUMMYFUNCTION("""COMPUTED_VALUE"""),2.0)</f>
        <v>2</v>
      </c>
      <c r="X136" s="44"/>
      <c r="Y136" s="44">
        <f>IFERROR(__xludf.DUMMYFUNCTION("""COMPUTED_VALUE"""),2.5)</f>
        <v>2.5</v>
      </c>
      <c r="Z136" s="44">
        <f>IFERROR(__xludf.DUMMYFUNCTION("""COMPUTED_VALUE"""),3.5)</f>
        <v>3.5</v>
      </c>
      <c r="AU136" s="43">
        <v>46157.0</v>
      </c>
      <c r="AX136" s="15" t="s">
        <v>86</v>
      </c>
      <c r="BB136" s="43">
        <f>IFERROR(__xludf.DUMMYFUNCTION("""COMPUTED_VALUE"""),46157.0)</f>
        <v>46157</v>
      </c>
      <c r="BC136" s="44">
        <f>IFERROR(__xludf.DUMMYFUNCTION("""COMPUTED_VALUE"""),3.0)</f>
        <v>3</v>
      </c>
      <c r="BD136" s="44"/>
      <c r="BE136" s="44">
        <f>IFERROR(__xludf.DUMMYFUNCTION("""COMPUTED_VALUE"""),3.5)</f>
        <v>3.5</v>
      </c>
      <c r="BF136" s="44">
        <f>IFERROR(__xludf.DUMMYFUNCTION("""COMPUTED_VALUE"""),2.0)</f>
        <v>2</v>
      </c>
    </row>
    <row r="137">
      <c r="A137" s="40">
        <v>46045.0</v>
      </c>
      <c r="B137" s="4" t="s">
        <v>173</v>
      </c>
      <c r="C137" s="4" t="s">
        <v>194</v>
      </c>
      <c r="D137" s="15" t="s">
        <v>93</v>
      </c>
      <c r="E137" s="15">
        <v>0.5</v>
      </c>
      <c r="V137" s="43">
        <f>IFERROR(__xludf.DUMMYFUNCTION("""COMPUTED_VALUE"""),46156.0)</f>
        <v>46156</v>
      </c>
      <c r="W137" s="44">
        <f>IFERROR(__xludf.DUMMYFUNCTION("""COMPUTED_VALUE"""),3.0)</f>
        <v>3</v>
      </c>
      <c r="X137" s="44"/>
      <c r="Y137" s="44">
        <f>IFERROR(__xludf.DUMMYFUNCTION("""COMPUTED_VALUE"""),2.5)</f>
        <v>2.5</v>
      </c>
      <c r="Z137" s="44">
        <f>IFERROR(__xludf.DUMMYFUNCTION("""COMPUTED_VALUE"""),1.0)</f>
        <v>1</v>
      </c>
      <c r="AU137" s="43">
        <v>46158.0</v>
      </c>
      <c r="AX137" s="15" t="s">
        <v>86</v>
      </c>
      <c r="BB137" s="43">
        <f>IFERROR(__xludf.DUMMYFUNCTION("""COMPUTED_VALUE"""),46158.0)</f>
        <v>46158</v>
      </c>
      <c r="BC137" s="44"/>
      <c r="BD137" s="44"/>
      <c r="BE137" s="44"/>
      <c r="BF137" s="44"/>
    </row>
    <row r="138">
      <c r="A138" s="40">
        <v>46045.0</v>
      </c>
      <c r="B138" s="4" t="s">
        <v>189</v>
      </c>
      <c r="C138" s="4" t="s">
        <v>796</v>
      </c>
      <c r="D138" s="15" t="s">
        <v>93</v>
      </c>
      <c r="E138" s="15">
        <v>2.5</v>
      </c>
      <c r="V138" s="43">
        <f>IFERROR(__xludf.DUMMYFUNCTION("""COMPUTED_VALUE"""),46157.0)</f>
        <v>46157</v>
      </c>
      <c r="W138" s="44">
        <f>IFERROR(__xludf.DUMMYFUNCTION("""COMPUTED_VALUE"""),3.0)</f>
        <v>3</v>
      </c>
      <c r="X138" s="44"/>
      <c r="Y138" s="44">
        <f>IFERROR(__xludf.DUMMYFUNCTION("""COMPUTED_VALUE"""),3.5)</f>
        <v>3.5</v>
      </c>
      <c r="Z138" s="44">
        <f>IFERROR(__xludf.DUMMYFUNCTION("""COMPUTED_VALUE"""),2.0)</f>
        <v>2</v>
      </c>
      <c r="AU138" s="43">
        <v>46159.0</v>
      </c>
      <c r="AX138" s="15" t="s">
        <v>86</v>
      </c>
      <c r="BB138" s="43">
        <f>IFERROR(__xludf.DUMMYFUNCTION("""COMPUTED_VALUE"""),46159.0)</f>
        <v>46159</v>
      </c>
      <c r="BC138" s="44"/>
      <c r="BD138" s="44"/>
      <c r="BE138" s="44"/>
      <c r="BF138" s="44"/>
    </row>
    <row r="139">
      <c r="A139" s="40">
        <v>46045.0</v>
      </c>
      <c r="B139" s="4" t="s">
        <v>48</v>
      </c>
      <c r="C139" s="4" t="s">
        <v>259</v>
      </c>
      <c r="D139" s="15" t="s">
        <v>38</v>
      </c>
      <c r="E139" s="15">
        <v>1.0</v>
      </c>
      <c r="V139" s="43">
        <f>IFERROR(__xludf.DUMMYFUNCTION("""COMPUTED_VALUE"""),46158.0)</f>
        <v>46158</v>
      </c>
      <c r="W139" s="44"/>
      <c r="X139" s="44"/>
      <c r="Y139" s="44"/>
      <c r="Z139" s="44"/>
      <c r="AU139" s="43">
        <v>46160.0</v>
      </c>
      <c r="AX139" s="15" t="s">
        <v>86</v>
      </c>
      <c r="BB139" s="43">
        <f>IFERROR(__xludf.DUMMYFUNCTION("""COMPUTED_VALUE"""),46160.0)</f>
        <v>46160</v>
      </c>
      <c r="BC139" s="44">
        <f>IFERROR(__xludf.DUMMYFUNCTION("""COMPUTED_VALUE"""),2.0)</f>
        <v>2</v>
      </c>
      <c r="BD139" s="44"/>
      <c r="BE139" s="44">
        <f>IFERROR(__xludf.DUMMYFUNCTION("""COMPUTED_VALUE"""),3.0)</f>
        <v>3</v>
      </c>
      <c r="BF139" s="44">
        <f>IFERROR(__xludf.DUMMYFUNCTION("""COMPUTED_VALUE"""),2.0)</f>
        <v>2</v>
      </c>
    </row>
    <row r="140">
      <c r="A140" s="40">
        <v>46045.0</v>
      </c>
      <c r="B140" s="4" t="s">
        <v>189</v>
      </c>
      <c r="C140" s="4" t="s">
        <v>194</v>
      </c>
      <c r="D140" s="15" t="s">
        <v>93</v>
      </c>
      <c r="E140" s="15">
        <v>0.5</v>
      </c>
      <c r="V140" s="43">
        <f>IFERROR(__xludf.DUMMYFUNCTION("""COMPUTED_VALUE"""),46159.0)</f>
        <v>46159</v>
      </c>
      <c r="W140" s="44"/>
      <c r="X140" s="44"/>
      <c r="Y140" s="44"/>
      <c r="Z140" s="44"/>
      <c r="AU140" s="43">
        <v>46161.0</v>
      </c>
      <c r="AX140" s="15" t="s">
        <v>86</v>
      </c>
      <c r="BB140" s="43">
        <f>IFERROR(__xludf.DUMMYFUNCTION("""COMPUTED_VALUE"""),46161.0)</f>
        <v>46161</v>
      </c>
      <c r="BC140" s="44">
        <f>IFERROR(__xludf.DUMMYFUNCTION("""COMPUTED_VALUE"""),4.5)</f>
        <v>4.5</v>
      </c>
      <c r="BD140" s="44"/>
      <c r="BE140" s="44">
        <f>IFERROR(__xludf.DUMMYFUNCTION("""COMPUTED_VALUE"""),1.0)</f>
        <v>1</v>
      </c>
      <c r="BF140" s="44">
        <f>IFERROR(__xludf.DUMMYFUNCTION("""COMPUTED_VALUE"""),3.0)</f>
        <v>3</v>
      </c>
    </row>
    <row r="141">
      <c r="A141" s="40">
        <v>46045.0</v>
      </c>
      <c r="B141" s="4" t="s">
        <v>173</v>
      </c>
      <c r="C141" s="4" t="s">
        <v>259</v>
      </c>
      <c r="D141" s="15" t="s">
        <v>93</v>
      </c>
      <c r="E141" s="15">
        <v>1.0</v>
      </c>
      <c r="V141" s="43">
        <f>IFERROR(__xludf.DUMMYFUNCTION("""COMPUTED_VALUE"""),46160.0)</f>
        <v>46160</v>
      </c>
      <c r="W141" s="44">
        <f>IFERROR(__xludf.DUMMYFUNCTION("""COMPUTED_VALUE"""),2.0)</f>
        <v>2</v>
      </c>
      <c r="X141" s="44"/>
      <c r="Y141" s="44">
        <f>IFERROR(__xludf.DUMMYFUNCTION("""COMPUTED_VALUE"""),3.0)</f>
        <v>3</v>
      </c>
      <c r="Z141" s="44">
        <f>IFERROR(__xludf.DUMMYFUNCTION("""COMPUTED_VALUE"""),2.0)</f>
        <v>2</v>
      </c>
      <c r="AU141" s="43">
        <v>46162.0</v>
      </c>
      <c r="AX141" s="15" t="s">
        <v>86</v>
      </c>
      <c r="BB141" s="43">
        <f>IFERROR(__xludf.DUMMYFUNCTION("""COMPUTED_VALUE"""),46162.0)</f>
        <v>46162</v>
      </c>
      <c r="BC141" s="44">
        <f>IFERROR(__xludf.DUMMYFUNCTION("""COMPUTED_VALUE"""),0.5)</f>
        <v>0.5</v>
      </c>
      <c r="BD141" s="44"/>
      <c r="BE141" s="44">
        <f>IFERROR(__xludf.DUMMYFUNCTION("""COMPUTED_VALUE"""),1.0)</f>
        <v>1</v>
      </c>
      <c r="BF141" s="44">
        <f>IFERROR(__xludf.DUMMYFUNCTION("""COMPUTED_VALUE"""),6.0)</f>
        <v>6</v>
      </c>
    </row>
    <row r="142">
      <c r="A142" s="40">
        <v>46045.0</v>
      </c>
      <c r="B142" s="4" t="s">
        <v>196</v>
      </c>
      <c r="C142" s="4" t="s">
        <v>194</v>
      </c>
      <c r="D142" s="15" t="s">
        <v>93</v>
      </c>
      <c r="E142" s="15">
        <v>0.5</v>
      </c>
      <c r="V142" s="43">
        <f>IFERROR(__xludf.DUMMYFUNCTION("""COMPUTED_VALUE"""),46161.0)</f>
        <v>46161</v>
      </c>
      <c r="W142" s="44">
        <f>IFERROR(__xludf.DUMMYFUNCTION("""COMPUTED_VALUE"""),4.5)</f>
        <v>4.5</v>
      </c>
      <c r="X142" s="44"/>
      <c r="Y142" s="44">
        <f>IFERROR(__xludf.DUMMYFUNCTION("""COMPUTED_VALUE"""),1.0)</f>
        <v>1</v>
      </c>
      <c r="Z142" s="44">
        <f>IFERROR(__xludf.DUMMYFUNCTION("""COMPUTED_VALUE"""),3.0)</f>
        <v>3</v>
      </c>
      <c r="AU142" s="43">
        <v>46163.0</v>
      </c>
      <c r="AX142" s="15" t="s">
        <v>86</v>
      </c>
      <c r="BB142" s="43">
        <f>IFERROR(__xludf.DUMMYFUNCTION("""COMPUTED_VALUE"""),46163.0)</f>
        <v>46163</v>
      </c>
      <c r="BC142" s="44">
        <f>IFERROR(__xludf.DUMMYFUNCTION("""COMPUTED_VALUE"""),2.5)</f>
        <v>2.5</v>
      </c>
      <c r="BD142" s="44"/>
      <c r="BE142" s="44">
        <f>IFERROR(__xludf.DUMMYFUNCTION("""COMPUTED_VALUE"""),3.5)</f>
        <v>3.5</v>
      </c>
      <c r="BF142" s="44">
        <f>IFERROR(__xludf.DUMMYFUNCTION("""COMPUTED_VALUE"""),2.0)</f>
        <v>2</v>
      </c>
    </row>
    <row r="143">
      <c r="A143" s="40">
        <v>46045.0</v>
      </c>
      <c r="B143" s="4" t="s">
        <v>192</v>
      </c>
      <c r="C143" s="4" t="s">
        <v>194</v>
      </c>
      <c r="D143" s="15" t="s">
        <v>93</v>
      </c>
      <c r="E143" s="15">
        <v>0.5</v>
      </c>
      <c r="V143" s="43">
        <f>IFERROR(__xludf.DUMMYFUNCTION("""COMPUTED_VALUE"""),46162.0)</f>
        <v>46162</v>
      </c>
      <c r="W143" s="44">
        <f>IFERROR(__xludf.DUMMYFUNCTION("""COMPUTED_VALUE"""),0.5)</f>
        <v>0.5</v>
      </c>
      <c r="X143" s="44"/>
      <c r="Y143" s="44">
        <f>IFERROR(__xludf.DUMMYFUNCTION("""COMPUTED_VALUE"""),1.0)</f>
        <v>1</v>
      </c>
      <c r="Z143" s="44">
        <f>IFERROR(__xludf.DUMMYFUNCTION("""COMPUTED_VALUE"""),6.0)</f>
        <v>6</v>
      </c>
      <c r="AU143" s="43">
        <v>46164.0</v>
      </c>
      <c r="AX143" s="15" t="s">
        <v>86</v>
      </c>
      <c r="BB143" s="43">
        <f>IFERROR(__xludf.DUMMYFUNCTION("""COMPUTED_VALUE"""),46164.0)</f>
        <v>46164</v>
      </c>
      <c r="BC143" s="44">
        <f>IFERROR(__xludf.DUMMYFUNCTION("""COMPUTED_VALUE"""),3.0)</f>
        <v>3</v>
      </c>
      <c r="BD143" s="44"/>
      <c r="BE143" s="44">
        <f>IFERROR(__xludf.DUMMYFUNCTION("""COMPUTED_VALUE"""),2.5)</f>
        <v>2.5</v>
      </c>
      <c r="BF143" s="44">
        <f>IFERROR(__xludf.DUMMYFUNCTION("""COMPUTED_VALUE"""),1.5)</f>
        <v>1.5</v>
      </c>
    </row>
    <row r="144">
      <c r="A144" s="40">
        <v>46045.0</v>
      </c>
      <c r="B144" s="4" t="s">
        <v>176</v>
      </c>
      <c r="C144" s="4" t="s">
        <v>291</v>
      </c>
      <c r="D144" s="15" t="s">
        <v>93</v>
      </c>
      <c r="E144" s="15">
        <v>1.5</v>
      </c>
      <c r="V144" s="43">
        <f>IFERROR(__xludf.DUMMYFUNCTION("""COMPUTED_VALUE"""),46163.0)</f>
        <v>46163</v>
      </c>
      <c r="W144" s="44">
        <f>IFERROR(__xludf.DUMMYFUNCTION("""COMPUTED_VALUE"""),2.5)</f>
        <v>2.5</v>
      </c>
      <c r="X144" s="44"/>
      <c r="Y144" s="44">
        <f>IFERROR(__xludf.DUMMYFUNCTION("""COMPUTED_VALUE"""),3.5)</f>
        <v>3.5</v>
      </c>
      <c r="Z144" s="44">
        <f>IFERROR(__xludf.DUMMYFUNCTION("""COMPUTED_VALUE"""),2.0)</f>
        <v>2</v>
      </c>
      <c r="AU144" s="43">
        <v>46165.0</v>
      </c>
      <c r="AX144" s="15" t="s">
        <v>86</v>
      </c>
      <c r="BB144" s="43">
        <f>IFERROR(__xludf.DUMMYFUNCTION("""COMPUTED_VALUE"""),46165.0)</f>
        <v>46165</v>
      </c>
      <c r="BC144" s="44"/>
      <c r="BD144" s="44"/>
      <c r="BE144" s="44"/>
      <c r="BF144" s="44"/>
    </row>
    <row r="145">
      <c r="A145" s="40">
        <v>46045.0</v>
      </c>
      <c r="B145" s="4" t="s">
        <v>212</v>
      </c>
      <c r="C145" s="4" t="s">
        <v>259</v>
      </c>
      <c r="D145" s="15" t="s">
        <v>53</v>
      </c>
      <c r="E145" s="15">
        <v>1.0</v>
      </c>
      <c r="V145" s="43">
        <f>IFERROR(__xludf.DUMMYFUNCTION("""COMPUTED_VALUE"""),46164.0)</f>
        <v>46164</v>
      </c>
      <c r="W145" s="44">
        <f>IFERROR(__xludf.DUMMYFUNCTION("""COMPUTED_VALUE"""),3.0)</f>
        <v>3</v>
      </c>
      <c r="X145" s="44"/>
      <c r="Y145" s="44">
        <f>IFERROR(__xludf.DUMMYFUNCTION("""COMPUTED_VALUE"""),2.5)</f>
        <v>2.5</v>
      </c>
      <c r="Z145" s="44">
        <f>IFERROR(__xludf.DUMMYFUNCTION("""COMPUTED_VALUE"""),1.5)</f>
        <v>1.5</v>
      </c>
      <c r="AU145" s="43">
        <v>46166.0</v>
      </c>
      <c r="AX145" s="15" t="s">
        <v>86</v>
      </c>
      <c r="BB145" s="43">
        <f>IFERROR(__xludf.DUMMYFUNCTION("""COMPUTED_VALUE"""),46166.0)</f>
        <v>46166</v>
      </c>
      <c r="BC145" s="44"/>
      <c r="BD145" s="44"/>
      <c r="BE145" s="44"/>
      <c r="BF145" s="44"/>
    </row>
    <row r="146">
      <c r="A146" s="40">
        <v>46048.0</v>
      </c>
      <c r="B146" s="4" t="s">
        <v>173</v>
      </c>
      <c r="C146" s="4" t="s">
        <v>194</v>
      </c>
      <c r="D146" s="15" t="s">
        <v>93</v>
      </c>
      <c r="E146" s="15">
        <v>0.5</v>
      </c>
      <c r="V146" s="43">
        <f>IFERROR(__xludf.DUMMYFUNCTION("""COMPUTED_VALUE"""),46165.0)</f>
        <v>46165</v>
      </c>
      <c r="W146" s="44"/>
      <c r="X146" s="44"/>
      <c r="Y146" s="44"/>
      <c r="Z146" s="44"/>
      <c r="AU146" s="43">
        <v>46167.0</v>
      </c>
      <c r="AX146" s="15" t="s">
        <v>86</v>
      </c>
      <c r="BB146" s="43">
        <f>IFERROR(__xludf.DUMMYFUNCTION("""COMPUTED_VALUE"""),46167.0)</f>
        <v>46167</v>
      </c>
      <c r="BC146" s="44"/>
      <c r="BD146" s="44"/>
      <c r="BE146" s="44"/>
      <c r="BF146" s="44"/>
    </row>
    <row r="147">
      <c r="A147" s="40">
        <v>46048.0</v>
      </c>
      <c r="B147" s="4" t="s">
        <v>205</v>
      </c>
      <c r="C147" s="4" t="s">
        <v>194</v>
      </c>
      <c r="D147" s="15" t="s">
        <v>53</v>
      </c>
      <c r="E147" s="15">
        <v>0.5</v>
      </c>
      <c r="V147" s="43">
        <f>IFERROR(__xludf.DUMMYFUNCTION("""COMPUTED_VALUE"""),46166.0)</f>
        <v>46166</v>
      </c>
      <c r="W147" s="44"/>
      <c r="X147" s="44"/>
      <c r="Y147" s="44"/>
      <c r="Z147" s="44"/>
      <c r="AU147" s="43">
        <v>46168.0</v>
      </c>
      <c r="AX147" s="15" t="s">
        <v>86</v>
      </c>
      <c r="BB147" s="43">
        <f>IFERROR(__xludf.DUMMYFUNCTION("""COMPUTED_VALUE"""),46168.0)</f>
        <v>46168</v>
      </c>
      <c r="BC147" s="44"/>
      <c r="BD147" s="44"/>
      <c r="BE147" s="44"/>
      <c r="BF147" s="44"/>
    </row>
    <row r="148">
      <c r="A148" s="40">
        <v>46048.0</v>
      </c>
      <c r="B148" s="4" t="s">
        <v>649</v>
      </c>
      <c r="C148" s="4" t="s">
        <v>194</v>
      </c>
      <c r="D148" s="15" t="s">
        <v>53</v>
      </c>
      <c r="E148" s="15">
        <v>0.5</v>
      </c>
      <c r="V148" s="43">
        <f>IFERROR(__xludf.DUMMYFUNCTION("""COMPUTED_VALUE"""),46167.0)</f>
        <v>46167</v>
      </c>
      <c r="W148" s="44"/>
      <c r="X148" s="44"/>
      <c r="Y148" s="44"/>
      <c r="Z148" s="44"/>
      <c r="AU148" s="43">
        <v>46169.0</v>
      </c>
      <c r="AX148" s="15" t="s">
        <v>86</v>
      </c>
      <c r="BB148" s="43">
        <f>IFERROR(__xludf.DUMMYFUNCTION("""COMPUTED_VALUE"""),46169.0)</f>
        <v>46169</v>
      </c>
      <c r="BC148" s="44">
        <f>IFERROR(__xludf.DUMMYFUNCTION("""COMPUTED_VALUE"""),2.5)</f>
        <v>2.5</v>
      </c>
      <c r="BD148" s="44"/>
      <c r="BE148" s="44">
        <f>IFERROR(__xludf.DUMMYFUNCTION("""COMPUTED_VALUE"""),2.0)</f>
        <v>2</v>
      </c>
      <c r="BF148" s="44">
        <f>IFERROR(__xludf.DUMMYFUNCTION("""COMPUTED_VALUE"""),3.0)</f>
        <v>3</v>
      </c>
    </row>
    <row r="149">
      <c r="A149" s="40">
        <v>46048.0</v>
      </c>
      <c r="B149" s="4" t="s">
        <v>208</v>
      </c>
      <c r="C149" s="4" t="s">
        <v>259</v>
      </c>
      <c r="D149" s="15" t="s">
        <v>53</v>
      </c>
      <c r="E149" s="15">
        <v>1.0</v>
      </c>
      <c r="V149" s="43">
        <f>IFERROR(__xludf.DUMMYFUNCTION("""COMPUTED_VALUE"""),46168.0)</f>
        <v>46168</v>
      </c>
      <c r="W149" s="44"/>
      <c r="X149" s="44"/>
      <c r="Y149" s="44"/>
      <c r="Z149" s="44"/>
      <c r="AU149" s="43">
        <v>46170.0</v>
      </c>
      <c r="AX149" s="15" t="s">
        <v>86</v>
      </c>
      <c r="BB149" s="43">
        <f>IFERROR(__xludf.DUMMYFUNCTION("""COMPUTED_VALUE"""),46170.0)</f>
        <v>46170</v>
      </c>
      <c r="BC149" s="44">
        <f>IFERROR(__xludf.DUMMYFUNCTION("""COMPUTED_VALUE"""),2.5)</f>
        <v>2.5</v>
      </c>
      <c r="BD149" s="44"/>
      <c r="BE149" s="44">
        <f>IFERROR(__xludf.DUMMYFUNCTION("""COMPUTED_VALUE"""),4.0)</f>
        <v>4</v>
      </c>
      <c r="BF149" s="44">
        <f>IFERROR(__xludf.DUMMYFUNCTION("""COMPUTED_VALUE"""),2.0)</f>
        <v>2</v>
      </c>
    </row>
    <row r="150">
      <c r="A150" s="40">
        <v>46048.0</v>
      </c>
      <c r="B150" s="4" t="s">
        <v>196</v>
      </c>
      <c r="C150" s="4" t="s">
        <v>194</v>
      </c>
      <c r="D150" s="15" t="s">
        <v>93</v>
      </c>
      <c r="E150" s="15">
        <v>0.5</v>
      </c>
      <c r="V150" s="43">
        <f>IFERROR(__xludf.DUMMYFUNCTION("""COMPUTED_VALUE"""),46169.0)</f>
        <v>46169</v>
      </c>
      <c r="W150" s="44">
        <f>IFERROR(__xludf.DUMMYFUNCTION("""COMPUTED_VALUE"""),2.5)</f>
        <v>2.5</v>
      </c>
      <c r="X150" s="44"/>
      <c r="Y150" s="44">
        <f>IFERROR(__xludf.DUMMYFUNCTION("""COMPUTED_VALUE"""),2.0)</f>
        <v>2</v>
      </c>
      <c r="Z150" s="44">
        <f>IFERROR(__xludf.DUMMYFUNCTION("""COMPUTED_VALUE"""),3.0)</f>
        <v>3</v>
      </c>
      <c r="AU150" s="43">
        <v>46171.0</v>
      </c>
      <c r="AX150" s="15" t="s">
        <v>86</v>
      </c>
      <c r="BB150" s="43">
        <f>IFERROR(__xludf.DUMMYFUNCTION("""COMPUTED_VALUE"""),46171.0)</f>
        <v>46171</v>
      </c>
      <c r="BC150" s="44">
        <f>IFERROR(__xludf.DUMMYFUNCTION("""COMPUTED_VALUE"""),1.75)</f>
        <v>1.75</v>
      </c>
      <c r="BD150" s="44"/>
      <c r="BE150" s="44">
        <f>IFERROR(__xludf.DUMMYFUNCTION("""COMPUTED_VALUE"""),3.75)</f>
        <v>3.75</v>
      </c>
      <c r="BF150" s="44">
        <f>IFERROR(__xludf.DUMMYFUNCTION("""COMPUTED_VALUE"""),1.5)</f>
        <v>1.5</v>
      </c>
    </row>
    <row r="151">
      <c r="A151" s="40">
        <v>46048.0</v>
      </c>
      <c r="B151" s="4" t="s">
        <v>189</v>
      </c>
      <c r="C151" s="4" t="s">
        <v>194</v>
      </c>
      <c r="D151" s="15" t="s">
        <v>93</v>
      </c>
      <c r="E151" s="15">
        <v>0.5</v>
      </c>
      <c r="V151" s="43">
        <f>IFERROR(__xludf.DUMMYFUNCTION("""COMPUTED_VALUE"""),46170.0)</f>
        <v>46170</v>
      </c>
      <c r="W151" s="44">
        <f>IFERROR(__xludf.DUMMYFUNCTION("""COMPUTED_VALUE"""),2.5)</f>
        <v>2.5</v>
      </c>
      <c r="X151" s="44"/>
      <c r="Y151" s="44">
        <f>IFERROR(__xludf.DUMMYFUNCTION("""COMPUTED_VALUE"""),4.0)</f>
        <v>4</v>
      </c>
      <c r="Z151" s="44">
        <f>IFERROR(__xludf.DUMMYFUNCTION("""COMPUTED_VALUE"""),2.0)</f>
        <v>2</v>
      </c>
      <c r="AU151" s="43">
        <v>46172.0</v>
      </c>
      <c r="AX151" s="15" t="s">
        <v>86</v>
      </c>
      <c r="BB151" s="43">
        <f>IFERROR(__xludf.DUMMYFUNCTION("""COMPUTED_VALUE"""),46172.0)</f>
        <v>46172</v>
      </c>
      <c r="BC151" s="44"/>
      <c r="BD151" s="44"/>
      <c r="BE151" s="44"/>
      <c r="BF151" s="44"/>
    </row>
    <row r="152">
      <c r="A152" s="40">
        <v>46048.0</v>
      </c>
      <c r="B152" s="4" t="s">
        <v>743</v>
      </c>
      <c r="C152" s="4" t="s">
        <v>259</v>
      </c>
      <c r="D152" s="15" t="s">
        <v>93</v>
      </c>
      <c r="E152" s="15">
        <v>1.0</v>
      </c>
      <c r="V152" s="43">
        <f>IFERROR(__xludf.DUMMYFUNCTION("""COMPUTED_VALUE"""),46171.0)</f>
        <v>46171</v>
      </c>
      <c r="W152" s="44">
        <f>IFERROR(__xludf.DUMMYFUNCTION("""COMPUTED_VALUE"""),1.75)</f>
        <v>1.75</v>
      </c>
      <c r="X152" s="44"/>
      <c r="Y152" s="44">
        <f>IFERROR(__xludf.DUMMYFUNCTION("""COMPUTED_VALUE"""),3.75)</f>
        <v>3.75</v>
      </c>
      <c r="Z152" s="44">
        <f>IFERROR(__xludf.DUMMYFUNCTION("""COMPUTED_VALUE"""),1.5)</f>
        <v>1.5</v>
      </c>
      <c r="AU152" s="43">
        <v>46173.0</v>
      </c>
      <c r="AX152" s="15" t="s">
        <v>86</v>
      </c>
      <c r="BB152" s="43">
        <f>IFERROR(__xludf.DUMMYFUNCTION("""COMPUTED_VALUE"""),46173.0)</f>
        <v>46173</v>
      </c>
      <c r="BC152" s="44"/>
      <c r="BD152" s="44"/>
      <c r="BE152" s="44"/>
      <c r="BF152" s="44"/>
    </row>
    <row r="153">
      <c r="A153" s="40">
        <v>46048.0</v>
      </c>
      <c r="B153" s="4" t="s">
        <v>224</v>
      </c>
      <c r="C153" s="4" t="s">
        <v>259</v>
      </c>
      <c r="D153" s="15" t="s">
        <v>53</v>
      </c>
      <c r="E153" s="15">
        <v>1.0</v>
      </c>
      <c r="V153" s="43">
        <f>IFERROR(__xludf.DUMMYFUNCTION("""COMPUTED_VALUE"""),46172.0)</f>
        <v>46172</v>
      </c>
      <c r="W153" s="44"/>
      <c r="X153" s="44"/>
      <c r="Y153" s="44"/>
      <c r="Z153" s="44"/>
      <c r="AU153" s="43">
        <v>46174.0</v>
      </c>
      <c r="AX153" s="15" t="s">
        <v>86</v>
      </c>
      <c r="BB153" s="43">
        <f>IFERROR(__xludf.DUMMYFUNCTION("""COMPUTED_VALUE"""),46174.0)</f>
        <v>46174</v>
      </c>
      <c r="BC153" s="44">
        <f>IFERROR(__xludf.DUMMYFUNCTION("""COMPUTED_VALUE"""),2.0)</f>
        <v>2</v>
      </c>
      <c r="BD153" s="44"/>
      <c r="BE153" s="44">
        <f>IFERROR(__xludf.DUMMYFUNCTION("""COMPUTED_VALUE"""),2.5)</f>
        <v>2.5</v>
      </c>
      <c r="BF153" s="44">
        <f>IFERROR(__xludf.DUMMYFUNCTION("""COMPUTED_VALUE"""),2.916666666666667)</f>
        <v>2.916666667</v>
      </c>
    </row>
    <row r="154">
      <c r="A154" s="40">
        <v>46049.0</v>
      </c>
      <c r="B154" s="4" t="s">
        <v>170</v>
      </c>
      <c r="C154" s="4" t="s">
        <v>194</v>
      </c>
      <c r="D154" s="15" t="s">
        <v>93</v>
      </c>
      <c r="E154" s="15">
        <v>0.5</v>
      </c>
      <c r="V154" s="43">
        <f>IFERROR(__xludf.DUMMYFUNCTION("""COMPUTED_VALUE"""),46173.0)</f>
        <v>46173</v>
      </c>
      <c r="W154" s="44"/>
      <c r="X154" s="44"/>
      <c r="Y154" s="44"/>
      <c r="Z154" s="44"/>
      <c r="AU154" s="43">
        <v>46175.0</v>
      </c>
      <c r="AX154" s="15" t="s">
        <v>86</v>
      </c>
      <c r="BB154" s="43">
        <f>IFERROR(__xludf.DUMMYFUNCTION("""COMPUTED_VALUE"""),46175.0)</f>
        <v>46175</v>
      </c>
      <c r="BC154" s="44">
        <f>IFERROR(__xludf.DUMMYFUNCTION("""COMPUTED_VALUE"""),5.0)</f>
        <v>5</v>
      </c>
      <c r="BD154" s="44"/>
      <c r="BE154" s="44">
        <f>IFERROR(__xludf.DUMMYFUNCTION("""COMPUTED_VALUE"""),1.75)</f>
        <v>1.75</v>
      </c>
      <c r="BF154" s="44">
        <f>IFERROR(__xludf.DUMMYFUNCTION("""COMPUTED_VALUE"""),1.0)</f>
        <v>1</v>
      </c>
    </row>
    <row r="155">
      <c r="A155" s="40">
        <v>46049.0</v>
      </c>
      <c r="B155" s="4" t="s">
        <v>189</v>
      </c>
      <c r="C155" s="4" t="s">
        <v>194</v>
      </c>
      <c r="D155" s="15" t="s">
        <v>93</v>
      </c>
      <c r="E155" s="15">
        <v>0.5</v>
      </c>
      <c r="V155" s="43">
        <f>IFERROR(__xludf.DUMMYFUNCTION("""COMPUTED_VALUE"""),46174.0)</f>
        <v>46174</v>
      </c>
      <c r="W155" s="44">
        <f>IFERROR(__xludf.DUMMYFUNCTION("""COMPUTED_VALUE"""),2.0)</f>
        <v>2</v>
      </c>
      <c r="X155" s="44"/>
      <c r="Y155" s="44">
        <f>IFERROR(__xludf.DUMMYFUNCTION("""COMPUTED_VALUE"""),2.5)</f>
        <v>2.5</v>
      </c>
      <c r="Z155" s="44">
        <f>IFERROR(__xludf.DUMMYFUNCTION("""COMPUTED_VALUE"""),2.916666666666667)</f>
        <v>2.916666667</v>
      </c>
      <c r="AU155" s="43">
        <v>46176.0</v>
      </c>
      <c r="AX155" s="15" t="s">
        <v>86</v>
      </c>
      <c r="BB155" s="43">
        <f>IFERROR(__xludf.DUMMYFUNCTION("""COMPUTED_VALUE"""),46176.0)</f>
        <v>46176</v>
      </c>
      <c r="BC155" s="44">
        <f>IFERROR(__xludf.DUMMYFUNCTION("""COMPUTED_VALUE"""),2.0)</f>
        <v>2</v>
      </c>
      <c r="BD155" s="44"/>
      <c r="BE155" s="44">
        <f>IFERROR(__xludf.DUMMYFUNCTION("""COMPUTED_VALUE"""),3.0)</f>
        <v>3</v>
      </c>
      <c r="BF155" s="44">
        <f>IFERROR(__xludf.DUMMYFUNCTION("""COMPUTED_VALUE"""),1.5)</f>
        <v>1.5</v>
      </c>
    </row>
    <row r="156">
      <c r="A156" s="40">
        <v>46049.0</v>
      </c>
      <c r="B156" s="4" t="s">
        <v>173</v>
      </c>
      <c r="C156" s="4" t="s">
        <v>420</v>
      </c>
      <c r="D156" s="15" t="s">
        <v>93</v>
      </c>
      <c r="E156" s="15">
        <v>0.25</v>
      </c>
      <c r="V156" s="43">
        <f>IFERROR(__xludf.DUMMYFUNCTION("""COMPUTED_VALUE"""),46175.0)</f>
        <v>46175</v>
      </c>
      <c r="W156" s="44">
        <f>IFERROR(__xludf.DUMMYFUNCTION("""COMPUTED_VALUE"""),5.0)</f>
        <v>5</v>
      </c>
      <c r="X156" s="44"/>
      <c r="Y156" s="44">
        <f>IFERROR(__xludf.DUMMYFUNCTION("""COMPUTED_VALUE"""),1.75)</f>
        <v>1.75</v>
      </c>
      <c r="Z156" s="44">
        <f>IFERROR(__xludf.DUMMYFUNCTION("""COMPUTED_VALUE"""),1.0)</f>
        <v>1</v>
      </c>
      <c r="AU156" s="43">
        <v>46177.0</v>
      </c>
      <c r="AX156" s="15" t="s">
        <v>86</v>
      </c>
      <c r="BB156" s="43">
        <f>IFERROR(__xludf.DUMMYFUNCTION("""COMPUTED_VALUE"""),46177.0)</f>
        <v>46177</v>
      </c>
      <c r="BC156" s="44">
        <f>IFERROR(__xludf.DUMMYFUNCTION("""COMPUTED_VALUE"""),1.5)</f>
        <v>1.5</v>
      </c>
      <c r="BD156" s="44"/>
      <c r="BE156" s="44">
        <f>IFERROR(__xludf.DUMMYFUNCTION("""COMPUTED_VALUE"""),3.25)</f>
        <v>3.25</v>
      </c>
      <c r="BF156" s="44">
        <f>IFERROR(__xludf.DUMMYFUNCTION("""COMPUTED_VALUE"""),2.5)</f>
        <v>2.5</v>
      </c>
    </row>
    <row r="157">
      <c r="A157" s="40">
        <v>46049.0</v>
      </c>
      <c r="B157" s="4" t="s">
        <v>48</v>
      </c>
      <c r="C157" s="4" t="s">
        <v>286</v>
      </c>
      <c r="D157" s="15" t="s">
        <v>38</v>
      </c>
      <c r="E157" s="15">
        <v>0.75</v>
      </c>
      <c r="V157" s="43">
        <f>IFERROR(__xludf.DUMMYFUNCTION("""COMPUTED_VALUE"""),46176.0)</f>
        <v>46176</v>
      </c>
      <c r="W157" s="44">
        <f>IFERROR(__xludf.DUMMYFUNCTION("""COMPUTED_VALUE"""),2.0)</f>
        <v>2</v>
      </c>
      <c r="X157" s="44"/>
      <c r="Y157" s="44">
        <f>IFERROR(__xludf.DUMMYFUNCTION("""COMPUTED_VALUE"""),3.0)</f>
        <v>3</v>
      </c>
      <c r="Z157" s="44">
        <f>IFERROR(__xludf.DUMMYFUNCTION("""COMPUTED_VALUE"""),1.5)</f>
        <v>1.5</v>
      </c>
      <c r="AU157" s="43">
        <v>46178.0</v>
      </c>
      <c r="AX157" s="15" t="s">
        <v>86</v>
      </c>
      <c r="BB157" s="43">
        <f>IFERROR(__xludf.DUMMYFUNCTION("""COMPUTED_VALUE"""),46178.0)</f>
        <v>46178</v>
      </c>
      <c r="BC157" s="44">
        <f>IFERROR(__xludf.DUMMYFUNCTION("""COMPUTED_VALUE"""),1.5)</f>
        <v>1.5</v>
      </c>
      <c r="BD157" s="44"/>
      <c r="BE157" s="44">
        <f>IFERROR(__xludf.DUMMYFUNCTION("""COMPUTED_VALUE"""),4.0)</f>
        <v>4</v>
      </c>
      <c r="BF157" s="44">
        <f>IFERROR(__xludf.DUMMYFUNCTION("""COMPUTED_VALUE"""),2.0)</f>
        <v>2</v>
      </c>
    </row>
    <row r="158">
      <c r="A158" s="40">
        <v>46049.0</v>
      </c>
      <c r="B158" s="4" t="s">
        <v>205</v>
      </c>
      <c r="C158" s="4" t="s">
        <v>259</v>
      </c>
      <c r="D158" s="15" t="s">
        <v>53</v>
      </c>
      <c r="E158" s="15">
        <v>1.0</v>
      </c>
      <c r="V158" s="43">
        <f>IFERROR(__xludf.DUMMYFUNCTION("""COMPUTED_VALUE"""),46177.0)</f>
        <v>46177</v>
      </c>
      <c r="W158" s="44">
        <f>IFERROR(__xludf.DUMMYFUNCTION("""COMPUTED_VALUE"""),1.5)</f>
        <v>1.5</v>
      </c>
      <c r="X158" s="44"/>
      <c r="Y158" s="44">
        <f>IFERROR(__xludf.DUMMYFUNCTION("""COMPUTED_VALUE"""),3.25)</f>
        <v>3.25</v>
      </c>
      <c r="Z158" s="44">
        <f>IFERROR(__xludf.DUMMYFUNCTION("""COMPUTED_VALUE"""),2.5)</f>
        <v>2.5</v>
      </c>
      <c r="AU158" s="43">
        <v>46179.0</v>
      </c>
      <c r="AX158" s="15" t="s">
        <v>86</v>
      </c>
      <c r="BB158" s="43">
        <f>IFERROR(__xludf.DUMMYFUNCTION("""COMPUTED_VALUE"""),46179.0)</f>
        <v>46179</v>
      </c>
      <c r="BC158" s="44"/>
      <c r="BD158" s="44"/>
      <c r="BE158" s="44"/>
      <c r="BF158" s="44"/>
    </row>
    <row r="159">
      <c r="A159" s="40">
        <v>46049.0</v>
      </c>
      <c r="B159" s="4" t="s">
        <v>743</v>
      </c>
      <c r="C159" s="4" t="s">
        <v>291</v>
      </c>
      <c r="D159" s="15" t="s">
        <v>93</v>
      </c>
      <c r="E159" s="15">
        <v>1.5</v>
      </c>
      <c r="V159" s="43">
        <f>IFERROR(__xludf.DUMMYFUNCTION("""COMPUTED_VALUE"""),46178.0)</f>
        <v>46178</v>
      </c>
      <c r="W159" s="44">
        <f>IFERROR(__xludf.DUMMYFUNCTION("""COMPUTED_VALUE"""),1.5)</f>
        <v>1.5</v>
      </c>
      <c r="X159" s="44"/>
      <c r="Y159" s="44">
        <f>IFERROR(__xludf.DUMMYFUNCTION("""COMPUTED_VALUE"""),4.0)</f>
        <v>4</v>
      </c>
      <c r="Z159" s="44">
        <f>IFERROR(__xludf.DUMMYFUNCTION("""COMPUTED_VALUE"""),2.0)</f>
        <v>2</v>
      </c>
      <c r="AU159" s="43">
        <v>46180.0</v>
      </c>
      <c r="AX159" s="15" t="s">
        <v>86</v>
      </c>
      <c r="BB159" s="43">
        <f>IFERROR(__xludf.DUMMYFUNCTION("""COMPUTED_VALUE"""),46180.0)</f>
        <v>46180</v>
      </c>
      <c r="BC159" s="44"/>
      <c r="BD159" s="44"/>
      <c r="BE159" s="44"/>
      <c r="BF159" s="44"/>
    </row>
    <row r="160">
      <c r="A160" s="40">
        <v>46049.0</v>
      </c>
      <c r="B160" s="4" t="s">
        <v>196</v>
      </c>
      <c r="C160" s="4" t="s">
        <v>194</v>
      </c>
      <c r="D160" s="15" t="s">
        <v>93</v>
      </c>
      <c r="E160" s="15">
        <v>0.5</v>
      </c>
      <c r="V160" s="43">
        <f>IFERROR(__xludf.DUMMYFUNCTION("""COMPUTED_VALUE"""),46179.0)</f>
        <v>46179</v>
      </c>
      <c r="W160" s="44"/>
      <c r="X160" s="44"/>
      <c r="Y160" s="44"/>
      <c r="Z160" s="44"/>
      <c r="AU160" s="43">
        <v>46181.0</v>
      </c>
      <c r="AX160" s="15" t="s">
        <v>86</v>
      </c>
      <c r="BB160" s="43">
        <f>IFERROR(__xludf.DUMMYFUNCTION("""COMPUTED_VALUE"""),46181.0)</f>
        <v>46181</v>
      </c>
      <c r="BC160" s="44"/>
      <c r="BD160" s="44"/>
      <c r="BE160" s="44"/>
      <c r="BF160" s="44"/>
    </row>
    <row r="161">
      <c r="A161" s="40">
        <v>46049.0</v>
      </c>
      <c r="B161" s="4" t="s">
        <v>58</v>
      </c>
      <c r="C161" s="4" t="s">
        <v>194</v>
      </c>
      <c r="D161" s="15" t="s">
        <v>38</v>
      </c>
      <c r="E161" s="15">
        <v>0.5</v>
      </c>
      <c r="V161" s="43">
        <f>IFERROR(__xludf.DUMMYFUNCTION("""COMPUTED_VALUE"""),46180.0)</f>
        <v>46180</v>
      </c>
      <c r="W161" s="44"/>
      <c r="X161" s="44"/>
      <c r="Y161" s="44"/>
      <c r="Z161" s="44"/>
      <c r="AU161" s="43">
        <v>46182.0</v>
      </c>
      <c r="AX161" s="15" t="s">
        <v>86</v>
      </c>
      <c r="BB161" s="43">
        <f>IFERROR(__xludf.DUMMYFUNCTION("""COMPUTED_VALUE"""),46182.0)</f>
        <v>46182</v>
      </c>
      <c r="BC161" s="44">
        <f>IFERROR(__xludf.DUMMYFUNCTION("""COMPUTED_VALUE"""),5.5)</f>
        <v>5.5</v>
      </c>
      <c r="BD161" s="44"/>
      <c r="BE161" s="44">
        <f>IFERROR(__xludf.DUMMYFUNCTION("""COMPUTED_VALUE"""),0.75)</f>
        <v>0.75</v>
      </c>
      <c r="BF161" s="44">
        <f>IFERROR(__xludf.DUMMYFUNCTION("""COMPUTED_VALUE"""),1.0)</f>
        <v>1</v>
      </c>
    </row>
    <row r="162">
      <c r="A162" s="40">
        <v>46049.0</v>
      </c>
      <c r="B162" s="4" t="s">
        <v>251</v>
      </c>
      <c r="C162" s="4" t="s">
        <v>259</v>
      </c>
      <c r="D162" s="15" t="s">
        <v>53</v>
      </c>
      <c r="E162" s="15">
        <v>1.0</v>
      </c>
      <c r="V162" s="43">
        <f>IFERROR(__xludf.DUMMYFUNCTION("""COMPUTED_VALUE"""),46181.0)</f>
        <v>46181</v>
      </c>
      <c r="W162" s="44"/>
      <c r="X162" s="44"/>
      <c r="Y162" s="44"/>
      <c r="Z162" s="44"/>
      <c r="AU162" s="43">
        <v>46183.0</v>
      </c>
      <c r="AX162" s="15" t="s">
        <v>86</v>
      </c>
      <c r="BB162" s="43">
        <f>IFERROR(__xludf.DUMMYFUNCTION("""COMPUTED_VALUE"""),46183.0)</f>
        <v>46183</v>
      </c>
      <c r="BC162" s="44">
        <f>IFERROR(__xludf.DUMMYFUNCTION("""COMPUTED_VALUE"""),2.5)</f>
        <v>2.5</v>
      </c>
      <c r="BD162" s="44"/>
      <c r="BE162" s="44">
        <f>IFERROR(__xludf.DUMMYFUNCTION("""COMPUTED_VALUE"""),4.0)</f>
        <v>4</v>
      </c>
      <c r="BF162" s="44"/>
    </row>
    <row r="163">
      <c r="A163" s="40">
        <v>46050.0</v>
      </c>
      <c r="B163" s="4" t="s">
        <v>189</v>
      </c>
      <c r="C163" s="4" t="s">
        <v>259</v>
      </c>
      <c r="D163" s="15" t="s">
        <v>93</v>
      </c>
      <c r="E163" s="15">
        <v>1.0</v>
      </c>
      <c r="V163" s="43">
        <f>IFERROR(__xludf.DUMMYFUNCTION("""COMPUTED_VALUE"""),46182.0)</f>
        <v>46182</v>
      </c>
      <c r="W163" s="44">
        <f>IFERROR(__xludf.DUMMYFUNCTION("""COMPUTED_VALUE"""),5.5)</f>
        <v>5.5</v>
      </c>
      <c r="X163" s="44"/>
      <c r="Y163" s="44">
        <f>IFERROR(__xludf.DUMMYFUNCTION("""COMPUTED_VALUE"""),0.75)</f>
        <v>0.75</v>
      </c>
      <c r="Z163" s="44">
        <f>IFERROR(__xludf.DUMMYFUNCTION("""COMPUTED_VALUE"""),1.0)</f>
        <v>1</v>
      </c>
      <c r="AU163" s="43">
        <v>46184.0</v>
      </c>
      <c r="AX163" s="15" t="s">
        <v>86</v>
      </c>
      <c r="BB163" s="43">
        <f>IFERROR(__xludf.DUMMYFUNCTION("""COMPUTED_VALUE"""),46184.0)</f>
        <v>46184</v>
      </c>
      <c r="BC163" s="44">
        <f>IFERROR(__xludf.DUMMYFUNCTION("""COMPUTED_VALUE"""),3.9166666666666665)</f>
        <v>3.916666667</v>
      </c>
      <c r="BD163" s="44"/>
      <c r="BE163" s="44">
        <f>IFERROR(__xludf.DUMMYFUNCTION("""COMPUTED_VALUE"""),3.5)</f>
        <v>3.5</v>
      </c>
      <c r="BF163" s="44"/>
    </row>
    <row r="164">
      <c r="A164" s="40">
        <v>46050.0</v>
      </c>
      <c r="B164" s="4" t="s">
        <v>173</v>
      </c>
      <c r="C164" s="4" t="s">
        <v>194</v>
      </c>
      <c r="D164" s="15" t="s">
        <v>93</v>
      </c>
      <c r="E164" s="15">
        <v>0.5</v>
      </c>
      <c r="V164" s="43">
        <f>IFERROR(__xludf.DUMMYFUNCTION("""COMPUTED_VALUE"""),46183.0)</f>
        <v>46183</v>
      </c>
      <c r="W164" s="44">
        <f>IFERROR(__xludf.DUMMYFUNCTION("""COMPUTED_VALUE"""),2.5)</f>
        <v>2.5</v>
      </c>
      <c r="X164" s="44"/>
      <c r="Y164" s="44">
        <f>IFERROR(__xludf.DUMMYFUNCTION("""COMPUTED_VALUE"""),4.0)</f>
        <v>4</v>
      </c>
      <c r="Z164" s="44"/>
      <c r="AU164" s="43">
        <v>46185.0</v>
      </c>
      <c r="AX164" s="15" t="s">
        <v>86</v>
      </c>
      <c r="BB164" s="43">
        <f>IFERROR(__xludf.DUMMYFUNCTION("""COMPUTED_VALUE"""),46185.0)</f>
        <v>46185</v>
      </c>
      <c r="BC164" s="44">
        <f>IFERROR(__xludf.DUMMYFUNCTION("""COMPUTED_VALUE"""),0.5)</f>
        <v>0.5</v>
      </c>
      <c r="BD164" s="44"/>
      <c r="BE164" s="44">
        <f>IFERROR(__xludf.DUMMYFUNCTION("""COMPUTED_VALUE"""),3.75)</f>
        <v>3.75</v>
      </c>
      <c r="BF164" s="44"/>
    </row>
    <row r="165">
      <c r="A165" s="40">
        <v>46050.0</v>
      </c>
      <c r="B165" s="4" t="s">
        <v>192</v>
      </c>
      <c r="C165" s="4" t="s">
        <v>194</v>
      </c>
      <c r="D165" s="15" t="s">
        <v>93</v>
      </c>
      <c r="E165" s="15">
        <v>0.5</v>
      </c>
      <c r="V165" s="43">
        <f>IFERROR(__xludf.DUMMYFUNCTION("""COMPUTED_VALUE"""),46184.0)</f>
        <v>46184</v>
      </c>
      <c r="W165" s="44">
        <f>IFERROR(__xludf.DUMMYFUNCTION("""COMPUTED_VALUE"""),3.9166666666666665)</f>
        <v>3.916666667</v>
      </c>
      <c r="X165" s="44"/>
      <c r="Y165" s="44">
        <f>IFERROR(__xludf.DUMMYFUNCTION("""COMPUTED_VALUE"""),3.5)</f>
        <v>3.5</v>
      </c>
      <c r="Z165" s="44"/>
      <c r="AU165" s="43">
        <v>46186.0</v>
      </c>
      <c r="AX165" s="15" t="s">
        <v>86</v>
      </c>
      <c r="BB165" s="43">
        <f>IFERROR(__xludf.DUMMYFUNCTION("""COMPUTED_VALUE"""),46186.0)</f>
        <v>46186</v>
      </c>
      <c r="BC165" s="44"/>
      <c r="BD165" s="44"/>
      <c r="BE165" s="44"/>
      <c r="BF165" s="44"/>
    </row>
    <row r="166">
      <c r="A166" s="40">
        <v>46050.0</v>
      </c>
      <c r="B166" s="4" t="s">
        <v>743</v>
      </c>
      <c r="C166" s="4" t="s">
        <v>259</v>
      </c>
      <c r="D166" s="15" t="s">
        <v>93</v>
      </c>
      <c r="E166" s="15">
        <v>1.0</v>
      </c>
      <c r="V166" s="43">
        <f>IFERROR(__xludf.DUMMYFUNCTION("""COMPUTED_VALUE"""),46185.0)</f>
        <v>46185</v>
      </c>
      <c r="W166" s="44">
        <f>IFERROR(__xludf.DUMMYFUNCTION("""COMPUTED_VALUE"""),0.5)</f>
        <v>0.5</v>
      </c>
      <c r="X166" s="44"/>
      <c r="Y166" s="44">
        <f>IFERROR(__xludf.DUMMYFUNCTION("""COMPUTED_VALUE"""),3.75)</f>
        <v>3.75</v>
      </c>
      <c r="Z166" s="44"/>
      <c r="AU166" s="43">
        <v>46187.0</v>
      </c>
      <c r="AX166" s="15" t="s">
        <v>86</v>
      </c>
      <c r="BB166" s="43">
        <f>IFERROR(__xludf.DUMMYFUNCTION("""COMPUTED_VALUE"""),46187.0)</f>
        <v>46187</v>
      </c>
      <c r="BC166" s="44"/>
      <c r="BD166" s="44"/>
      <c r="BE166" s="44"/>
      <c r="BF166" s="44"/>
    </row>
    <row r="167">
      <c r="A167" s="40">
        <v>46050.0</v>
      </c>
      <c r="B167" s="4" t="s">
        <v>205</v>
      </c>
      <c r="C167" s="4" t="s">
        <v>194</v>
      </c>
      <c r="D167" s="15" t="s">
        <v>53</v>
      </c>
      <c r="E167" s="15">
        <v>0.5</v>
      </c>
      <c r="V167" s="43">
        <f>IFERROR(__xludf.DUMMYFUNCTION("""COMPUTED_VALUE"""),46186.0)</f>
        <v>46186</v>
      </c>
      <c r="W167" s="44"/>
      <c r="X167" s="44"/>
      <c r="Y167" s="44"/>
      <c r="Z167" s="44"/>
      <c r="AU167" s="43">
        <v>46188.0</v>
      </c>
      <c r="AX167" s="15" t="s">
        <v>86</v>
      </c>
      <c r="BB167" s="43">
        <f>IFERROR(__xludf.DUMMYFUNCTION("""COMPUTED_VALUE"""),46188.0)</f>
        <v>46188</v>
      </c>
      <c r="BC167" s="44"/>
      <c r="BD167" s="44"/>
      <c r="BE167" s="44"/>
      <c r="BF167" s="44"/>
    </row>
    <row r="168">
      <c r="A168" s="40">
        <v>46050.0</v>
      </c>
      <c r="B168" s="4" t="s">
        <v>208</v>
      </c>
      <c r="C168" s="4" t="s">
        <v>194</v>
      </c>
      <c r="D168" s="15" t="s">
        <v>53</v>
      </c>
      <c r="E168" s="15">
        <v>0.5</v>
      </c>
      <c r="V168" s="43">
        <f>IFERROR(__xludf.DUMMYFUNCTION("""COMPUTED_VALUE"""),46187.0)</f>
        <v>46187</v>
      </c>
      <c r="W168" s="44"/>
      <c r="X168" s="44"/>
      <c r="Y168" s="44"/>
      <c r="Z168" s="44"/>
      <c r="AU168" s="43">
        <v>46189.0</v>
      </c>
      <c r="AX168" s="15" t="s">
        <v>86</v>
      </c>
      <c r="BB168" s="43">
        <f>IFERROR(__xludf.DUMMYFUNCTION("""COMPUTED_VALUE"""),46189.0)</f>
        <v>46189</v>
      </c>
      <c r="BC168" s="44"/>
      <c r="BD168" s="44"/>
      <c r="BE168" s="44"/>
      <c r="BF168" s="44"/>
    </row>
    <row r="169">
      <c r="A169" s="40">
        <v>46050.0</v>
      </c>
      <c r="B169" s="4" t="s">
        <v>230</v>
      </c>
      <c r="C169" s="4" t="s">
        <v>286</v>
      </c>
      <c r="D169" s="15" t="s">
        <v>53</v>
      </c>
      <c r="E169" s="15">
        <v>0.75</v>
      </c>
      <c r="V169" s="43">
        <f>IFERROR(__xludf.DUMMYFUNCTION("""COMPUTED_VALUE"""),46188.0)</f>
        <v>46188</v>
      </c>
      <c r="W169" s="44"/>
      <c r="X169" s="44"/>
      <c r="Y169" s="44"/>
      <c r="Z169" s="44"/>
      <c r="AU169" s="43">
        <v>46190.0</v>
      </c>
      <c r="AX169" s="15" t="s">
        <v>86</v>
      </c>
      <c r="BB169" s="43">
        <f>IFERROR(__xludf.DUMMYFUNCTION("""COMPUTED_VALUE"""),46190.0)</f>
        <v>46190</v>
      </c>
      <c r="BC169" s="44"/>
      <c r="BD169" s="44"/>
      <c r="BE169" s="44"/>
      <c r="BF169" s="44"/>
    </row>
    <row r="170">
      <c r="A170" s="40">
        <v>46050.0</v>
      </c>
      <c r="B170" s="4" t="s">
        <v>196</v>
      </c>
      <c r="C170" s="4" t="s">
        <v>420</v>
      </c>
      <c r="D170" s="15" t="s">
        <v>93</v>
      </c>
      <c r="E170" s="15">
        <v>0.25</v>
      </c>
      <c r="V170" s="43">
        <f>IFERROR(__xludf.DUMMYFUNCTION("""COMPUTED_VALUE"""),46189.0)</f>
        <v>46189</v>
      </c>
      <c r="W170" s="44"/>
      <c r="X170" s="44"/>
      <c r="Y170" s="44"/>
      <c r="Z170" s="44"/>
      <c r="AU170" s="43">
        <v>46191.0</v>
      </c>
      <c r="AX170" s="15" t="s">
        <v>86</v>
      </c>
      <c r="BB170" s="43">
        <f>IFERROR(__xludf.DUMMYFUNCTION("""COMPUTED_VALUE"""),46191.0)</f>
        <v>46191</v>
      </c>
      <c r="BC170" s="44"/>
      <c r="BD170" s="44"/>
      <c r="BE170" s="44"/>
      <c r="BF170" s="44"/>
    </row>
    <row r="171">
      <c r="A171" s="40">
        <v>46050.0</v>
      </c>
      <c r="B171" s="4" t="s">
        <v>176</v>
      </c>
      <c r="C171" s="4" t="s">
        <v>194</v>
      </c>
      <c r="D171" s="15" t="s">
        <v>93</v>
      </c>
      <c r="E171" s="15">
        <v>0.5</v>
      </c>
      <c r="V171" s="43">
        <f>IFERROR(__xludf.DUMMYFUNCTION("""COMPUTED_VALUE"""),46190.0)</f>
        <v>46190</v>
      </c>
      <c r="W171" s="44"/>
      <c r="X171" s="44"/>
      <c r="Y171" s="44"/>
      <c r="Z171" s="44"/>
      <c r="AU171" s="43">
        <v>46192.0</v>
      </c>
      <c r="AX171" s="15" t="s">
        <v>86</v>
      </c>
      <c r="BB171" s="43">
        <f>IFERROR(__xludf.DUMMYFUNCTION("""COMPUTED_VALUE"""),46192.0)</f>
        <v>46192</v>
      </c>
      <c r="BC171" s="44"/>
      <c r="BD171" s="44"/>
      <c r="BE171" s="44"/>
      <c r="BF171" s="44"/>
    </row>
    <row r="172">
      <c r="A172" s="40">
        <v>46050.0</v>
      </c>
      <c r="B172" s="4" t="s">
        <v>189</v>
      </c>
      <c r="C172" s="4" t="s">
        <v>194</v>
      </c>
      <c r="D172" s="15" t="s">
        <v>93</v>
      </c>
      <c r="E172" s="15">
        <v>0.5</v>
      </c>
      <c r="V172" s="43">
        <f>IFERROR(__xludf.DUMMYFUNCTION("""COMPUTED_VALUE"""),46191.0)</f>
        <v>46191</v>
      </c>
      <c r="W172" s="44"/>
      <c r="X172" s="44"/>
      <c r="Y172" s="44"/>
      <c r="Z172" s="44"/>
      <c r="AU172" s="43">
        <v>46193.0</v>
      </c>
      <c r="AX172" s="15" t="s">
        <v>86</v>
      </c>
      <c r="BB172" s="43">
        <f>IFERROR(__xludf.DUMMYFUNCTION("""COMPUTED_VALUE"""),46193.0)</f>
        <v>46193</v>
      </c>
      <c r="BC172" s="44"/>
      <c r="BD172" s="44"/>
      <c r="BE172" s="44"/>
      <c r="BF172" s="44"/>
    </row>
    <row r="173">
      <c r="A173" s="40">
        <v>46050.0</v>
      </c>
      <c r="B173" s="4" t="s">
        <v>212</v>
      </c>
      <c r="C173" s="4" t="s">
        <v>194</v>
      </c>
      <c r="D173" s="15" t="s">
        <v>53</v>
      </c>
      <c r="E173" s="15">
        <v>0.5</v>
      </c>
      <c r="V173" s="43">
        <f>IFERROR(__xludf.DUMMYFUNCTION("""COMPUTED_VALUE"""),46192.0)</f>
        <v>46192</v>
      </c>
      <c r="W173" s="44"/>
      <c r="X173" s="44"/>
      <c r="Y173" s="44"/>
      <c r="Z173" s="44"/>
      <c r="AU173" s="43">
        <v>46194.0</v>
      </c>
      <c r="AX173" s="15" t="s">
        <v>86</v>
      </c>
      <c r="BB173" s="43">
        <f>IFERROR(__xludf.DUMMYFUNCTION("""COMPUTED_VALUE"""),46194.0)</f>
        <v>46194</v>
      </c>
      <c r="BC173" s="44"/>
      <c r="BD173" s="44"/>
      <c r="BE173" s="44"/>
      <c r="BF173" s="44"/>
    </row>
    <row r="174">
      <c r="A174" s="40">
        <v>46051.0</v>
      </c>
      <c r="B174" s="4" t="s">
        <v>173</v>
      </c>
      <c r="C174" s="4" t="s">
        <v>420</v>
      </c>
      <c r="D174" s="15" t="s">
        <v>93</v>
      </c>
      <c r="E174" s="15">
        <v>0.25</v>
      </c>
      <c r="V174" s="43">
        <f>IFERROR(__xludf.DUMMYFUNCTION("""COMPUTED_VALUE"""),46193.0)</f>
        <v>46193</v>
      </c>
      <c r="W174" s="44"/>
      <c r="X174" s="44"/>
      <c r="Y174" s="44"/>
      <c r="Z174" s="44"/>
      <c r="AU174" s="43">
        <v>46195.0</v>
      </c>
      <c r="AX174" s="15" t="s">
        <v>86</v>
      </c>
      <c r="BB174" s="43">
        <f>IFERROR(__xludf.DUMMYFUNCTION("""COMPUTED_VALUE"""),46195.0)</f>
        <v>46195</v>
      </c>
      <c r="BC174" s="44"/>
      <c r="BD174" s="44"/>
      <c r="BE174" s="44"/>
      <c r="BF174" s="44"/>
    </row>
    <row r="175">
      <c r="A175" s="40">
        <v>46051.0</v>
      </c>
      <c r="B175" s="4" t="s">
        <v>192</v>
      </c>
      <c r="C175" s="4" t="s">
        <v>420</v>
      </c>
      <c r="D175" s="15" t="s">
        <v>93</v>
      </c>
      <c r="E175" s="15">
        <v>0.25</v>
      </c>
      <c r="V175" s="43">
        <f>IFERROR(__xludf.DUMMYFUNCTION("""COMPUTED_VALUE"""),46194.0)</f>
        <v>46194</v>
      </c>
      <c r="W175" s="44"/>
      <c r="X175" s="44"/>
      <c r="Y175" s="44"/>
      <c r="Z175" s="44"/>
      <c r="AU175" s="43">
        <v>46196.0</v>
      </c>
      <c r="AX175" s="15" t="s">
        <v>86</v>
      </c>
      <c r="BB175" s="43">
        <f>IFERROR(__xludf.DUMMYFUNCTION("""COMPUTED_VALUE"""),46196.0)</f>
        <v>46196</v>
      </c>
      <c r="BC175" s="44"/>
      <c r="BD175" s="44"/>
      <c r="BE175" s="44"/>
      <c r="BF175" s="44"/>
    </row>
    <row r="176">
      <c r="A176" s="40">
        <v>46051.0</v>
      </c>
      <c r="B176" s="4" t="s">
        <v>189</v>
      </c>
      <c r="C176" s="4" t="s">
        <v>194</v>
      </c>
      <c r="D176" s="15" t="s">
        <v>93</v>
      </c>
      <c r="E176" s="15">
        <v>0.5</v>
      </c>
      <c r="V176" s="43">
        <f>IFERROR(__xludf.DUMMYFUNCTION("""COMPUTED_VALUE"""),46195.0)</f>
        <v>46195</v>
      </c>
      <c r="W176" s="44"/>
      <c r="X176" s="44"/>
      <c r="Y176" s="44"/>
      <c r="Z176" s="44"/>
      <c r="AU176" s="43">
        <v>46197.0</v>
      </c>
      <c r="AX176" s="15" t="s">
        <v>86</v>
      </c>
      <c r="BB176" s="43">
        <f>IFERROR(__xludf.DUMMYFUNCTION("""COMPUTED_VALUE"""),46197.0)</f>
        <v>46197</v>
      </c>
      <c r="BC176" s="44"/>
      <c r="BD176" s="44"/>
      <c r="BE176" s="44"/>
      <c r="BF176" s="44"/>
    </row>
    <row r="177">
      <c r="A177" s="40">
        <v>46051.0</v>
      </c>
      <c r="B177" s="4" t="s">
        <v>173</v>
      </c>
      <c r="C177" s="4" t="s">
        <v>194</v>
      </c>
      <c r="D177" s="15" t="s">
        <v>93</v>
      </c>
      <c r="E177" s="15">
        <v>0.5</v>
      </c>
      <c r="V177" s="43">
        <f>IFERROR(__xludf.DUMMYFUNCTION("""COMPUTED_VALUE"""),46196.0)</f>
        <v>46196</v>
      </c>
      <c r="W177" s="44"/>
      <c r="X177" s="44"/>
      <c r="Y177" s="44"/>
      <c r="Z177" s="44"/>
      <c r="AU177" s="43">
        <v>46198.0</v>
      </c>
      <c r="AX177" s="15" t="s">
        <v>86</v>
      </c>
      <c r="BB177" s="43">
        <f>IFERROR(__xludf.DUMMYFUNCTION("""COMPUTED_VALUE"""),46198.0)</f>
        <v>46198</v>
      </c>
      <c r="BC177" s="44"/>
      <c r="BD177" s="44"/>
      <c r="BE177" s="44"/>
      <c r="BF177" s="44"/>
    </row>
    <row r="178">
      <c r="A178" s="40">
        <v>46051.0</v>
      </c>
      <c r="B178" s="4" t="s">
        <v>170</v>
      </c>
      <c r="C178" s="4" t="s">
        <v>194</v>
      </c>
      <c r="D178" s="15" t="s">
        <v>93</v>
      </c>
      <c r="E178" s="15">
        <v>0.5</v>
      </c>
      <c r="V178" s="43">
        <f>IFERROR(__xludf.DUMMYFUNCTION("""COMPUTED_VALUE"""),46197.0)</f>
        <v>46197</v>
      </c>
      <c r="W178" s="44"/>
      <c r="X178" s="44"/>
      <c r="Y178" s="44"/>
      <c r="Z178" s="44"/>
      <c r="AU178" s="43">
        <v>46199.0</v>
      </c>
      <c r="AX178" s="15" t="s">
        <v>86</v>
      </c>
      <c r="BB178" s="43">
        <f>IFERROR(__xludf.DUMMYFUNCTION("""COMPUTED_VALUE"""),46199.0)</f>
        <v>46199</v>
      </c>
      <c r="BC178" s="44"/>
      <c r="BD178" s="44"/>
      <c r="BE178" s="44"/>
      <c r="BF178" s="44"/>
    </row>
    <row r="179">
      <c r="A179" s="40">
        <v>46052.0</v>
      </c>
      <c r="B179" s="4" t="s">
        <v>189</v>
      </c>
      <c r="C179" s="4" t="s">
        <v>194</v>
      </c>
      <c r="D179" s="15" t="s">
        <v>93</v>
      </c>
      <c r="E179" s="15">
        <v>0.5</v>
      </c>
      <c r="V179" s="43">
        <f>IFERROR(__xludf.DUMMYFUNCTION("""COMPUTED_VALUE"""),46198.0)</f>
        <v>46198</v>
      </c>
      <c r="W179" s="44"/>
      <c r="X179" s="44"/>
      <c r="Y179" s="44"/>
      <c r="Z179" s="44"/>
      <c r="AU179" s="43">
        <v>46200.0</v>
      </c>
      <c r="AX179" s="15" t="s">
        <v>86</v>
      </c>
      <c r="BB179" s="43">
        <f>IFERROR(__xludf.DUMMYFUNCTION("""COMPUTED_VALUE"""),46200.0)</f>
        <v>46200</v>
      </c>
      <c r="BC179" s="44"/>
      <c r="BD179" s="44"/>
      <c r="BE179" s="44"/>
      <c r="BF179" s="44"/>
    </row>
    <row r="180">
      <c r="A180" s="40">
        <v>46052.0</v>
      </c>
      <c r="B180" s="4" t="s">
        <v>173</v>
      </c>
      <c r="C180" s="4" t="s">
        <v>194</v>
      </c>
      <c r="D180" s="15" t="s">
        <v>93</v>
      </c>
      <c r="E180" s="15">
        <v>0.5</v>
      </c>
      <c r="V180" s="43">
        <f>IFERROR(__xludf.DUMMYFUNCTION("""COMPUTED_VALUE"""),46199.0)</f>
        <v>46199</v>
      </c>
      <c r="W180" s="44"/>
      <c r="X180" s="44"/>
      <c r="Y180" s="44"/>
      <c r="Z180" s="44"/>
      <c r="AU180" s="43">
        <v>46201.0</v>
      </c>
      <c r="AX180" s="15" t="s">
        <v>86</v>
      </c>
      <c r="BB180" s="43">
        <f>IFERROR(__xludf.DUMMYFUNCTION("""COMPUTED_VALUE"""),46201.0)</f>
        <v>46201</v>
      </c>
      <c r="BC180" s="44"/>
      <c r="BD180" s="44"/>
      <c r="BE180" s="44"/>
      <c r="BF180" s="44"/>
    </row>
    <row r="181">
      <c r="A181" s="40">
        <v>46052.0</v>
      </c>
      <c r="B181" s="4" t="s">
        <v>173</v>
      </c>
      <c r="C181" s="4" t="s">
        <v>194</v>
      </c>
      <c r="D181" s="15" t="s">
        <v>93</v>
      </c>
      <c r="E181" s="15">
        <v>0.5</v>
      </c>
      <c r="V181" s="43">
        <f>IFERROR(__xludf.DUMMYFUNCTION("""COMPUTED_VALUE"""),46200.0)</f>
        <v>46200</v>
      </c>
      <c r="W181" s="44"/>
      <c r="X181" s="44"/>
      <c r="Y181" s="44"/>
      <c r="Z181" s="44"/>
      <c r="AU181" s="43">
        <v>46202.0</v>
      </c>
      <c r="AX181" s="15" t="s">
        <v>86</v>
      </c>
      <c r="BB181" s="43">
        <f>IFERROR(__xludf.DUMMYFUNCTION("""COMPUTED_VALUE"""),46202.0)</f>
        <v>46202</v>
      </c>
      <c r="BC181" s="44"/>
      <c r="BD181" s="44"/>
      <c r="BE181" s="44"/>
      <c r="BF181" s="44"/>
    </row>
    <row r="182">
      <c r="A182" s="40">
        <v>46052.0</v>
      </c>
      <c r="B182" s="4" t="s">
        <v>189</v>
      </c>
      <c r="C182" s="4" t="s">
        <v>259</v>
      </c>
      <c r="D182" s="15" t="s">
        <v>93</v>
      </c>
      <c r="E182" s="15">
        <v>1.0</v>
      </c>
      <c r="V182" s="43">
        <f>IFERROR(__xludf.DUMMYFUNCTION("""COMPUTED_VALUE"""),46201.0)</f>
        <v>46201</v>
      </c>
      <c r="W182" s="44"/>
      <c r="X182" s="44"/>
      <c r="Y182" s="44"/>
      <c r="Z182" s="44"/>
      <c r="AU182" s="43">
        <v>46203.0</v>
      </c>
      <c r="AX182" s="15" t="s">
        <v>86</v>
      </c>
      <c r="BB182" s="43">
        <f>IFERROR(__xludf.DUMMYFUNCTION("""COMPUTED_VALUE"""),46203.0)</f>
        <v>46203</v>
      </c>
      <c r="BC182" s="44"/>
      <c r="BD182" s="44"/>
      <c r="BE182" s="44"/>
      <c r="BF182" s="44"/>
    </row>
    <row r="183">
      <c r="A183" s="40">
        <v>46052.0</v>
      </c>
      <c r="B183" s="4" t="s">
        <v>170</v>
      </c>
      <c r="C183" s="4" t="s">
        <v>259</v>
      </c>
      <c r="D183" s="15" t="s">
        <v>93</v>
      </c>
      <c r="E183" s="15">
        <v>1.0</v>
      </c>
      <c r="V183" s="43">
        <f>IFERROR(__xludf.DUMMYFUNCTION("""COMPUTED_VALUE"""),46202.0)</f>
        <v>46202</v>
      </c>
      <c r="W183" s="44"/>
      <c r="X183" s="44"/>
      <c r="Y183" s="44"/>
      <c r="Z183" s="44"/>
      <c r="AU183" s="43">
        <v>46204.0</v>
      </c>
      <c r="AX183" s="15" t="s">
        <v>86</v>
      </c>
      <c r="BB183" s="43">
        <f>IFERROR(__xludf.DUMMYFUNCTION("""COMPUTED_VALUE"""),46204.0)</f>
        <v>46204</v>
      </c>
      <c r="BC183" s="44"/>
      <c r="BD183" s="44"/>
      <c r="BE183" s="44"/>
      <c r="BF183" s="44"/>
    </row>
    <row r="184">
      <c r="A184" s="40">
        <v>46052.0</v>
      </c>
      <c r="B184" s="4" t="s">
        <v>205</v>
      </c>
      <c r="C184" s="4" t="s">
        <v>194</v>
      </c>
      <c r="D184" s="15" t="s">
        <v>53</v>
      </c>
      <c r="E184" s="15">
        <v>0.5</v>
      </c>
      <c r="V184" s="43">
        <f>IFERROR(__xludf.DUMMYFUNCTION("""COMPUTED_VALUE"""),46203.0)</f>
        <v>46203</v>
      </c>
      <c r="W184" s="44"/>
      <c r="X184" s="44"/>
      <c r="Y184" s="44"/>
      <c r="Z184" s="44"/>
      <c r="AU184" s="43">
        <v>46205.0</v>
      </c>
      <c r="AX184" s="15" t="s">
        <v>86</v>
      </c>
      <c r="BB184" s="43">
        <f>IFERROR(__xludf.DUMMYFUNCTION("""COMPUTED_VALUE"""),46205.0)</f>
        <v>46205</v>
      </c>
      <c r="BC184" s="44"/>
      <c r="BD184" s="44"/>
      <c r="BE184" s="44"/>
      <c r="BF184" s="44"/>
    </row>
    <row r="185">
      <c r="A185" s="40">
        <v>46052.0</v>
      </c>
      <c r="B185" s="4" t="s">
        <v>176</v>
      </c>
      <c r="C185" s="4" t="s">
        <v>194</v>
      </c>
      <c r="D185" s="15" t="s">
        <v>93</v>
      </c>
      <c r="E185" s="15">
        <v>0.5</v>
      </c>
      <c r="V185" s="43">
        <f>IFERROR(__xludf.DUMMYFUNCTION("""COMPUTED_VALUE"""),46204.0)</f>
        <v>46204</v>
      </c>
      <c r="W185" s="44"/>
      <c r="X185" s="44"/>
      <c r="Y185" s="44"/>
      <c r="Z185" s="44"/>
      <c r="AU185" s="43">
        <v>46206.0</v>
      </c>
      <c r="AX185" s="15" t="s">
        <v>86</v>
      </c>
      <c r="BB185" s="43">
        <f>IFERROR(__xludf.DUMMYFUNCTION("""COMPUTED_VALUE"""),46206.0)</f>
        <v>46206</v>
      </c>
      <c r="BC185" s="44"/>
      <c r="BD185" s="44"/>
      <c r="BE185" s="44"/>
      <c r="BF185" s="44"/>
    </row>
    <row r="186">
      <c r="A186" s="40">
        <v>46052.0</v>
      </c>
      <c r="B186" s="4" t="s">
        <v>48</v>
      </c>
      <c r="C186" s="4" t="s">
        <v>194</v>
      </c>
      <c r="D186" s="15" t="s">
        <v>38</v>
      </c>
      <c r="E186" s="15">
        <v>0.5</v>
      </c>
      <c r="V186" s="43">
        <f>IFERROR(__xludf.DUMMYFUNCTION("""COMPUTED_VALUE"""),46205.0)</f>
        <v>46205</v>
      </c>
      <c r="W186" s="44"/>
      <c r="X186" s="44"/>
      <c r="Y186" s="44"/>
      <c r="Z186" s="44"/>
      <c r="AU186" s="43">
        <v>46207.0</v>
      </c>
      <c r="AX186" s="15" t="s">
        <v>86</v>
      </c>
      <c r="BB186" s="43">
        <f>IFERROR(__xludf.DUMMYFUNCTION("""COMPUTED_VALUE"""),46207.0)</f>
        <v>46207</v>
      </c>
      <c r="BC186" s="44"/>
      <c r="BD186" s="44"/>
      <c r="BE186" s="44"/>
      <c r="BF186" s="44"/>
    </row>
    <row r="187">
      <c r="A187" s="40">
        <v>46052.0</v>
      </c>
      <c r="B187" s="4" t="s">
        <v>251</v>
      </c>
      <c r="C187" s="4" t="s">
        <v>291</v>
      </c>
      <c r="D187" s="15" t="s">
        <v>53</v>
      </c>
      <c r="E187" s="15">
        <v>1.5</v>
      </c>
      <c r="V187" s="43">
        <f>IFERROR(__xludf.DUMMYFUNCTION("""COMPUTED_VALUE"""),46206.0)</f>
        <v>46206</v>
      </c>
      <c r="W187" s="44"/>
      <c r="X187" s="44"/>
      <c r="Y187" s="44"/>
      <c r="Z187" s="44"/>
      <c r="AU187" s="43">
        <v>46208.0</v>
      </c>
      <c r="AX187" s="15" t="s">
        <v>86</v>
      </c>
      <c r="BB187" s="43">
        <f>IFERROR(__xludf.DUMMYFUNCTION("""COMPUTED_VALUE"""),46208.0)</f>
        <v>46208</v>
      </c>
      <c r="BC187" s="44"/>
      <c r="BD187" s="44"/>
      <c r="BE187" s="44"/>
      <c r="BF187" s="44"/>
    </row>
    <row r="188">
      <c r="A188" s="40">
        <v>46055.0</v>
      </c>
      <c r="B188" s="4" t="s">
        <v>176</v>
      </c>
      <c r="C188" s="4" t="s">
        <v>194</v>
      </c>
      <c r="D188" s="15" t="s">
        <v>93</v>
      </c>
      <c r="E188" s="15">
        <v>0.5</v>
      </c>
      <c r="V188" s="43">
        <f>IFERROR(__xludf.DUMMYFUNCTION("""COMPUTED_VALUE"""),46207.0)</f>
        <v>46207</v>
      </c>
      <c r="W188" s="44"/>
      <c r="X188" s="44"/>
      <c r="Y188" s="44"/>
      <c r="Z188" s="44"/>
      <c r="AU188" s="43">
        <v>46209.0</v>
      </c>
      <c r="AX188" s="15" t="s">
        <v>86</v>
      </c>
      <c r="BB188" s="43">
        <f>IFERROR(__xludf.DUMMYFUNCTION("""COMPUTED_VALUE"""),46209.0)</f>
        <v>46209</v>
      </c>
      <c r="BC188" s="44"/>
      <c r="BD188" s="44"/>
      <c r="BE188" s="44"/>
      <c r="BF188" s="44"/>
    </row>
    <row r="189">
      <c r="A189" s="40">
        <v>46055.0</v>
      </c>
      <c r="B189" s="4" t="s">
        <v>205</v>
      </c>
      <c r="C189" s="4" t="s">
        <v>194</v>
      </c>
      <c r="D189" s="15" t="s">
        <v>53</v>
      </c>
      <c r="E189" s="15">
        <v>0.5</v>
      </c>
      <c r="V189" s="43">
        <f>IFERROR(__xludf.DUMMYFUNCTION("""COMPUTED_VALUE"""),46208.0)</f>
        <v>46208</v>
      </c>
      <c r="W189" s="44"/>
      <c r="X189" s="44"/>
      <c r="Y189" s="44"/>
      <c r="Z189" s="44"/>
      <c r="AU189" s="43">
        <v>46210.0</v>
      </c>
      <c r="AX189" s="15" t="s">
        <v>86</v>
      </c>
      <c r="BB189" s="43">
        <f>IFERROR(__xludf.DUMMYFUNCTION("""COMPUTED_VALUE"""),46210.0)</f>
        <v>46210</v>
      </c>
      <c r="BC189" s="44"/>
      <c r="BD189" s="44"/>
      <c r="BE189" s="44"/>
      <c r="BF189" s="44"/>
    </row>
    <row r="190">
      <c r="A190" s="40">
        <v>46055.0</v>
      </c>
      <c r="B190" s="4" t="s">
        <v>192</v>
      </c>
      <c r="C190" s="4" t="s">
        <v>194</v>
      </c>
      <c r="D190" s="15" t="s">
        <v>93</v>
      </c>
      <c r="E190" s="15">
        <v>0.5</v>
      </c>
      <c r="V190" s="43">
        <f>IFERROR(__xludf.DUMMYFUNCTION("""COMPUTED_VALUE"""),46209.0)</f>
        <v>46209</v>
      </c>
      <c r="W190" s="44"/>
      <c r="X190" s="44"/>
      <c r="Y190" s="44"/>
      <c r="Z190" s="44"/>
      <c r="AU190" s="43">
        <v>46211.0</v>
      </c>
      <c r="AX190" s="15" t="s">
        <v>86</v>
      </c>
      <c r="BB190" s="43">
        <f>IFERROR(__xludf.DUMMYFUNCTION("""COMPUTED_VALUE"""),46211.0)</f>
        <v>46211</v>
      </c>
      <c r="BC190" s="44"/>
      <c r="BD190" s="44"/>
      <c r="BE190" s="44"/>
      <c r="BF190" s="44"/>
    </row>
    <row r="191">
      <c r="A191" s="40">
        <v>46055.0</v>
      </c>
      <c r="B191" s="4" t="s">
        <v>173</v>
      </c>
      <c r="C191" s="4" t="s">
        <v>194</v>
      </c>
      <c r="D191" s="15" t="s">
        <v>93</v>
      </c>
      <c r="E191" s="15">
        <v>0.5</v>
      </c>
      <c r="V191" s="43">
        <f>IFERROR(__xludf.DUMMYFUNCTION("""COMPUTED_VALUE"""),46210.0)</f>
        <v>46210</v>
      </c>
      <c r="W191" s="44"/>
      <c r="X191" s="44"/>
      <c r="Y191" s="44"/>
      <c r="Z191" s="44"/>
      <c r="AU191" s="43">
        <v>46212.0</v>
      </c>
      <c r="AX191" s="15" t="s">
        <v>86</v>
      </c>
      <c r="BB191" s="43">
        <f>IFERROR(__xludf.DUMMYFUNCTION("""COMPUTED_VALUE"""),46212.0)</f>
        <v>46212</v>
      </c>
      <c r="BC191" s="44"/>
      <c r="BD191" s="44"/>
      <c r="BE191" s="44"/>
      <c r="BF191" s="44"/>
    </row>
    <row r="192">
      <c r="A192" s="40">
        <v>46055.0</v>
      </c>
      <c r="B192" s="4" t="s">
        <v>196</v>
      </c>
      <c r="C192" s="4" t="s">
        <v>194</v>
      </c>
      <c r="D192" s="15" t="s">
        <v>93</v>
      </c>
      <c r="E192" s="15">
        <v>0.5</v>
      </c>
      <c r="V192" s="43">
        <f>IFERROR(__xludf.DUMMYFUNCTION("""COMPUTED_VALUE"""),46211.0)</f>
        <v>46211</v>
      </c>
      <c r="W192" s="44"/>
      <c r="X192" s="44"/>
      <c r="Y192" s="44"/>
      <c r="Z192" s="44"/>
      <c r="AU192" s="43">
        <v>46213.0</v>
      </c>
      <c r="AX192" s="15" t="s">
        <v>86</v>
      </c>
      <c r="BB192" s="43">
        <f>IFERROR(__xludf.DUMMYFUNCTION("""COMPUTED_VALUE"""),46213.0)</f>
        <v>46213</v>
      </c>
      <c r="BC192" s="44"/>
      <c r="BD192" s="44"/>
      <c r="BE192" s="44"/>
      <c r="BF192" s="44"/>
    </row>
    <row r="193">
      <c r="A193" s="40">
        <v>46055.0</v>
      </c>
      <c r="B193" s="4" t="s">
        <v>522</v>
      </c>
      <c r="C193" s="4" t="s">
        <v>259</v>
      </c>
      <c r="D193" s="15" t="s">
        <v>53</v>
      </c>
      <c r="E193" s="15">
        <v>1.0</v>
      </c>
      <c r="V193" s="43">
        <f>IFERROR(__xludf.DUMMYFUNCTION("""COMPUTED_VALUE"""),46212.0)</f>
        <v>46212</v>
      </c>
      <c r="W193" s="44"/>
      <c r="X193" s="44"/>
      <c r="Y193" s="44"/>
      <c r="Z193" s="44"/>
      <c r="AU193" s="43">
        <v>46214.0</v>
      </c>
      <c r="AX193" s="15" t="s">
        <v>86</v>
      </c>
      <c r="BB193" s="43">
        <f>IFERROR(__xludf.DUMMYFUNCTION("""COMPUTED_VALUE"""),46214.0)</f>
        <v>46214</v>
      </c>
      <c r="BC193" s="44"/>
      <c r="BD193" s="44"/>
      <c r="BE193" s="44"/>
      <c r="BF193" s="44"/>
    </row>
    <row r="194">
      <c r="A194" s="40">
        <v>46055.0</v>
      </c>
      <c r="B194" s="4" t="s">
        <v>355</v>
      </c>
      <c r="C194" s="4" t="s">
        <v>259</v>
      </c>
      <c r="D194" s="15" t="s">
        <v>53</v>
      </c>
      <c r="E194" s="15">
        <v>1.0</v>
      </c>
      <c r="V194" s="43">
        <f>IFERROR(__xludf.DUMMYFUNCTION("""COMPUTED_VALUE"""),46213.0)</f>
        <v>46213</v>
      </c>
      <c r="W194" s="44"/>
      <c r="X194" s="44"/>
      <c r="Y194" s="44"/>
      <c r="Z194" s="44"/>
      <c r="AU194" s="43">
        <v>46215.0</v>
      </c>
      <c r="AX194" s="15" t="s">
        <v>86</v>
      </c>
      <c r="BB194" s="43">
        <f>IFERROR(__xludf.DUMMYFUNCTION("""COMPUTED_VALUE"""),46215.0)</f>
        <v>46215</v>
      </c>
      <c r="BC194" s="44"/>
      <c r="BD194" s="44"/>
      <c r="BE194" s="44"/>
      <c r="BF194" s="44"/>
    </row>
    <row r="195">
      <c r="A195" s="40">
        <v>46055.0</v>
      </c>
      <c r="B195" s="4" t="s">
        <v>752</v>
      </c>
      <c r="C195" s="4" t="s">
        <v>259</v>
      </c>
      <c r="D195" s="15" t="s">
        <v>93</v>
      </c>
      <c r="E195" s="15">
        <v>1.0</v>
      </c>
      <c r="V195" s="43">
        <f>IFERROR(__xludf.DUMMYFUNCTION("""COMPUTED_VALUE"""),46214.0)</f>
        <v>46214</v>
      </c>
      <c r="W195" s="44"/>
      <c r="X195" s="44"/>
      <c r="Y195" s="44"/>
      <c r="Z195" s="44"/>
      <c r="AU195" s="43">
        <v>46216.0</v>
      </c>
      <c r="AX195" s="15" t="s">
        <v>86</v>
      </c>
      <c r="BB195" s="43">
        <f>IFERROR(__xludf.DUMMYFUNCTION("""COMPUTED_VALUE"""),46216.0)</f>
        <v>46216</v>
      </c>
      <c r="BC195" s="44"/>
      <c r="BD195" s="44"/>
      <c r="BE195" s="44"/>
      <c r="BF195" s="44"/>
    </row>
    <row r="196">
      <c r="A196" s="40">
        <v>46055.0</v>
      </c>
      <c r="B196" s="4" t="s">
        <v>224</v>
      </c>
      <c r="C196" s="4" t="s">
        <v>291</v>
      </c>
      <c r="D196" s="15" t="s">
        <v>53</v>
      </c>
      <c r="E196" s="15">
        <v>1.5</v>
      </c>
      <c r="V196" s="43">
        <f>IFERROR(__xludf.DUMMYFUNCTION("""COMPUTED_VALUE"""),46215.0)</f>
        <v>46215</v>
      </c>
      <c r="W196" s="44"/>
      <c r="X196" s="44"/>
      <c r="Y196" s="44"/>
      <c r="Z196" s="44"/>
      <c r="AU196" s="43">
        <v>46217.0</v>
      </c>
      <c r="AX196" s="15" t="s">
        <v>86</v>
      </c>
      <c r="BB196" s="43">
        <f>IFERROR(__xludf.DUMMYFUNCTION("""COMPUTED_VALUE"""),46217.0)</f>
        <v>46217</v>
      </c>
      <c r="BC196" s="44"/>
      <c r="BD196" s="44"/>
      <c r="BE196" s="44"/>
      <c r="BF196" s="44"/>
    </row>
    <row r="197">
      <c r="A197" s="40">
        <v>46055.0</v>
      </c>
      <c r="B197" s="4" t="s">
        <v>346</v>
      </c>
      <c r="C197" s="4" t="s">
        <v>1383</v>
      </c>
      <c r="D197" s="15" t="s">
        <v>53</v>
      </c>
      <c r="E197" s="15">
        <v>5.0</v>
      </c>
      <c r="V197" s="43">
        <f>IFERROR(__xludf.DUMMYFUNCTION("""COMPUTED_VALUE"""),46216.0)</f>
        <v>46216</v>
      </c>
      <c r="W197" s="44"/>
      <c r="X197" s="44"/>
      <c r="Y197" s="44"/>
      <c r="Z197" s="44"/>
      <c r="AU197" s="43">
        <v>46218.0</v>
      </c>
      <c r="AX197" s="15" t="s">
        <v>86</v>
      </c>
      <c r="BB197" s="43">
        <f>IFERROR(__xludf.DUMMYFUNCTION("""COMPUTED_VALUE"""),46218.0)</f>
        <v>46218</v>
      </c>
      <c r="BC197" s="44"/>
      <c r="BD197" s="44"/>
      <c r="BE197" s="44"/>
      <c r="BF197" s="44"/>
    </row>
    <row r="198">
      <c r="A198" s="40">
        <v>46056.0</v>
      </c>
      <c r="B198" s="4" t="s">
        <v>170</v>
      </c>
      <c r="C198" s="4" t="s">
        <v>194</v>
      </c>
      <c r="D198" s="15" t="s">
        <v>93</v>
      </c>
      <c r="E198" s="15">
        <v>0.5</v>
      </c>
      <c r="V198" s="43">
        <f>IFERROR(__xludf.DUMMYFUNCTION("""COMPUTED_VALUE"""),46217.0)</f>
        <v>46217</v>
      </c>
      <c r="W198" s="44"/>
      <c r="X198" s="44"/>
      <c r="Y198" s="44"/>
      <c r="Z198" s="44"/>
      <c r="AU198" s="43">
        <v>46219.0</v>
      </c>
      <c r="AX198" s="15" t="s">
        <v>86</v>
      </c>
      <c r="BB198" s="43">
        <f>IFERROR(__xludf.DUMMYFUNCTION("""COMPUTED_VALUE"""),46219.0)</f>
        <v>46219</v>
      </c>
      <c r="BC198" s="44"/>
      <c r="BD198" s="44"/>
      <c r="BE198" s="44"/>
      <c r="BF198" s="44"/>
    </row>
    <row r="199">
      <c r="A199" s="40">
        <v>46056.0</v>
      </c>
      <c r="B199" s="4" t="s">
        <v>205</v>
      </c>
      <c r="C199" s="4" t="s">
        <v>194</v>
      </c>
      <c r="D199" s="15" t="s">
        <v>53</v>
      </c>
      <c r="E199" s="15">
        <v>0.5</v>
      </c>
      <c r="V199" s="43">
        <f>IFERROR(__xludf.DUMMYFUNCTION("""COMPUTED_VALUE"""),46218.0)</f>
        <v>46218</v>
      </c>
      <c r="W199" s="44"/>
      <c r="X199" s="44"/>
      <c r="Y199" s="44"/>
      <c r="Z199" s="44"/>
      <c r="AU199" s="43">
        <v>46220.0</v>
      </c>
      <c r="AX199" s="15" t="s">
        <v>86</v>
      </c>
      <c r="BB199" s="43">
        <f>IFERROR(__xludf.DUMMYFUNCTION("""COMPUTED_VALUE"""),46220.0)</f>
        <v>46220</v>
      </c>
      <c r="BC199" s="44"/>
      <c r="BD199" s="44"/>
      <c r="BE199" s="44"/>
      <c r="BF199" s="44"/>
    </row>
    <row r="200">
      <c r="A200" s="40">
        <v>46056.0</v>
      </c>
      <c r="B200" s="4" t="s">
        <v>208</v>
      </c>
      <c r="C200" s="4" t="s">
        <v>194</v>
      </c>
      <c r="D200" s="15" t="s">
        <v>53</v>
      </c>
      <c r="E200" s="15">
        <v>0.5</v>
      </c>
      <c r="V200" s="43">
        <f>IFERROR(__xludf.DUMMYFUNCTION("""COMPUTED_VALUE"""),46219.0)</f>
        <v>46219</v>
      </c>
      <c r="W200" s="44"/>
      <c r="X200" s="44"/>
      <c r="Y200" s="44"/>
      <c r="Z200" s="44"/>
      <c r="AU200" s="43">
        <v>46221.0</v>
      </c>
      <c r="AX200" s="15" t="s">
        <v>86</v>
      </c>
      <c r="BB200" s="43">
        <f>IFERROR(__xludf.DUMMYFUNCTION("""COMPUTED_VALUE"""),46221.0)</f>
        <v>46221</v>
      </c>
      <c r="BC200" s="44"/>
      <c r="BD200" s="44"/>
      <c r="BE200" s="44"/>
      <c r="BF200" s="44"/>
    </row>
    <row r="201">
      <c r="A201" s="40">
        <v>46056.0</v>
      </c>
      <c r="B201" s="4" t="s">
        <v>189</v>
      </c>
      <c r="C201" s="4" t="s">
        <v>194</v>
      </c>
      <c r="D201" s="15" t="s">
        <v>93</v>
      </c>
      <c r="E201" s="15">
        <v>0.5</v>
      </c>
      <c r="V201" s="43">
        <f>IFERROR(__xludf.DUMMYFUNCTION("""COMPUTED_VALUE"""),46220.0)</f>
        <v>46220</v>
      </c>
      <c r="W201" s="44"/>
      <c r="X201" s="44"/>
      <c r="Y201" s="44"/>
      <c r="Z201" s="44"/>
      <c r="AU201" s="43">
        <v>46222.0</v>
      </c>
      <c r="AX201" s="15" t="s">
        <v>86</v>
      </c>
      <c r="BB201" s="43">
        <f>IFERROR(__xludf.DUMMYFUNCTION("""COMPUTED_VALUE"""),46222.0)</f>
        <v>46222</v>
      </c>
      <c r="BC201" s="44"/>
      <c r="BD201" s="44"/>
      <c r="BE201" s="44"/>
      <c r="BF201" s="44"/>
    </row>
    <row r="202">
      <c r="A202" s="40">
        <v>46056.0</v>
      </c>
      <c r="B202" s="4" t="s">
        <v>173</v>
      </c>
      <c r="C202" s="4" t="s">
        <v>194</v>
      </c>
      <c r="D202" s="15" t="s">
        <v>93</v>
      </c>
      <c r="E202" s="15">
        <v>0.5</v>
      </c>
      <c r="V202" s="43">
        <f>IFERROR(__xludf.DUMMYFUNCTION("""COMPUTED_VALUE"""),46221.0)</f>
        <v>46221</v>
      </c>
      <c r="W202" s="44"/>
      <c r="X202" s="44"/>
      <c r="Y202" s="44"/>
      <c r="Z202" s="44"/>
      <c r="AU202" s="43">
        <v>46223.0</v>
      </c>
      <c r="AX202" s="15" t="s">
        <v>86</v>
      </c>
      <c r="BB202" s="43">
        <f>IFERROR(__xludf.DUMMYFUNCTION("""COMPUTED_VALUE"""),46223.0)</f>
        <v>46223</v>
      </c>
      <c r="BC202" s="44"/>
      <c r="BD202" s="44"/>
      <c r="BE202" s="44"/>
      <c r="BF202" s="44"/>
    </row>
    <row r="203">
      <c r="A203" s="40">
        <v>46056.0</v>
      </c>
      <c r="B203" s="4" t="s">
        <v>735</v>
      </c>
      <c r="C203" s="4" t="s">
        <v>194</v>
      </c>
      <c r="D203" s="15" t="s">
        <v>93</v>
      </c>
      <c r="E203" s="15">
        <v>0.5</v>
      </c>
      <c r="V203" s="43">
        <f>IFERROR(__xludf.DUMMYFUNCTION("""COMPUTED_VALUE"""),46222.0)</f>
        <v>46222</v>
      </c>
      <c r="W203" s="44"/>
      <c r="X203" s="44"/>
      <c r="Y203" s="44"/>
      <c r="Z203" s="44"/>
      <c r="AU203" s="43">
        <v>46224.0</v>
      </c>
      <c r="AX203" s="15" t="s">
        <v>86</v>
      </c>
      <c r="BB203" s="43">
        <f>IFERROR(__xludf.DUMMYFUNCTION("""COMPUTED_VALUE"""),46224.0)</f>
        <v>46224</v>
      </c>
      <c r="BC203" s="44"/>
      <c r="BD203" s="44"/>
      <c r="BE203" s="44"/>
      <c r="BF203" s="44"/>
    </row>
    <row r="204">
      <c r="A204" s="40">
        <v>46056.0</v>
      </c>
      <c r="B204" s="4" t="s">
        <v>230</v>
      </c>
      <c r="C204" s="4" t="s">
        <v>194</v>
      </c>
      <c r="D204" s="15" t="s">
        <v>53</v>
      </c>
      <c r="E204" s="15">
        <v>0.5</v>
      </c>
      <c r="V204" s="43">
        <f>IFERROR(__xludf.DUMMYFUNCTION("""COMPUTED_VALUE"""),46223.0)</f>
        <v>46223</v>
      </c>
      <c r="W204" s="44"/>
      <c r="X204" s="44"/>
      <c r="Y204" s="44"/>
      <c r="Z204" s="44"/>
      <c r="AU204" s="43">
        <v>46225.0</v>
      </c>
      <c r="AX204" s="15" t="s">
        <v>86</v>
      </c>
      <c r="BB204" s="43">
        <f>IFERROR(__xludf.DUMMYFUNCTION("""COMPUTED_VALUE"""),46225.0)</f>
        <v>46225</v>
      </c>
      <c r="BC204" s="44"/>
      <c r="BD204" s="44"/>
      <c r="BE204" s="44"/>
      <c r="BF204" s="44"/>
    </row>
    <row r="205">
      <c r="A205" s="40">
        <v>46056.0</v>
      </c>
      <c r="B205" s="4" t="s">
        <v>743</v>
      </c>
      <c r="C205" s="4" t="s">
        <v>259</v>
      </c>
      <c r="D205" s="15" t="s">
        <v>93</v>
      </c>
      <c r="E205" s="15">
        <v>1.0</v>
      </c>
      <c r="V205" s="43">
        <f>IFERROR(__xludf.DUMMYFUNCTION("""COMPUTED_VALUE"""),46224.0)</f>
        <v>46224</v>
      </c>
      <c r="W205" s="44"/>
      <c r="X205" s="44"/>
      <c r="Y205" s="44"/>
      <c r="Z205" s="44"/>
      <c r="AU205" s="43">
        <v>46226.0</v>
      </c>
      <c r="AX205" s="15" t="s">
        <v>86</v>
      </c>
      <c r="BB205" s="43">
        <f>IFERROR(__xludf.DUMMYFUNCTION("""COMPUTED_VALUE"""),46226.0)</f>
        <v>46226</v>
      </c>
      <c r="BC205" s="44"/>
      <c r="BD205" s="44"/>
      <c r="BE205" s="44"/>
      <c r="BF205" s="44"/>
    </row>
    <row r="206">
      <c r="A206" s="40">
        <v>46056.0</v>
      </c>
      <c r="B206" s="4" t="s">
        <v>189</v>
      </c>
      <c r="C206" s="4" t="s">
        <v>194</v>
      </c>
      <c r="D206" s="15" t="s">
        <v>93</v>
      </c>
      <c r="E206" s="15">
        <v>0.5</v>
      </c>
      <c r="V206" s="43">
        <f>IFERROR(__xludf.DUMMYFUNCTION("""COMPUTED_VALUE"""),46225.0)</f>
        <v>46225</v>
      </c>
      <c r="W206" s="44"/>
      <c r="X206" s="44"/>
      <c r="Y206" s="44"/>
      <c r="Z206" s="44"/>
      <c r="AU206" s="43">
        <v>46227.0</v>
      </c>
      <c r="AX206" s="15" t="s">
        <v>86</v>
      </c>
      <c r="BB206" s="43">
        <f>IFERROR(__xludf.DUMMYFUNCTION("""COMPUTED_VALUE"""),46227.0)</f>
        <v>46227</v>
      </c>
      <c r="BC206" s="44"/>
      <c r="BD206" s="44"/>
      <c r="BE206" s="44"/>
      <c r="BF206" s="44"/>
    </row>
    <row r="207">
      <c r="A207" s="40">
        <v>46056.0</v>
      </c>
      <c r="B207" s="4" t="s">
        <v>170</v>
      </c>
      <c r="C207" s="4" t="s">
        <v>194</v>
      </c>
      <c r="D207" s="15" t="s">
        <v>93</v>
      </c>
      <c r="E207" s="15">
        <v>0.5</v>
      </c>
      <c r="V207" s="43">
        <f>IFERROR(__xludf.DUMMYFUNCTION("""COMPUTED_VALUE"""),46226.0)</f>
        <v>46226</v>
      </c>
      <c r="W207" s="44"/>
      <c r="X207" s="44"/>
      <c r="Y207" s="44"/>
      <c r="Z207" s="44"/>
      <c r="AU207" s="43">
        <v>46228.0</v>
      </c>
      <c r="AX207" s="15" t="s">
        <v>86</v>
      </c>
      <c r="BB207" s="43">
        <f>IFERROR(__xludf.DUMMYFUNCTION("""COMPUTED_VALUE"""),46228.0)</f>
        <v>46228</v>
      </c>
      <c r="BC207" s="44"/>
      <c r="BD207" s="44"/>
      <c r="BE207" s="44"/>
      <c r="BF207" s="44"/>
    </row>
    <row r="208">
      <c r="A208" s="40">
        <v>46056.0</v>
      </c>
      <c r="B208" s="4" t="s">
        <v>738</v>
      </c>
      <c r="C208" s="4" t="s">
        <v>194</v>
      </c>
      <c r="D208" s="15" t="s">
        <v>93</v>
      </c>
      <c r="E208" s="15">
        <v>0.5</v>
      </c>
      <c r="V208" s="43">
        <f>IFERROR(__xludf.DUMMYFUNCTION("""COMPUTED_VALUE"""),46227.0)</f>
        <v>46227</v>
      </c>
      <c r="W208" s="44"/>
      <c r="X208" s="44"/>
      <c r="Y208" s="44"/>
      <c r="Z208" s="44"/>
      <c r="AU208" s="43">
        <v>46229.0</v>
      </c>
      <c r="AX208" s="15" t="s">
        <v>86</v>
      </c>
      <c r="BB208" s="43">
        <f>IFERROR(__xludf.DUMMYFUNCTION("""COMPUTED_VALUE"""),46229.0)</f>
        <v>46229</v>
      </c>
      <c r="BC208" s="44"/>
      <c r="BD208" s="44"/>
      <c r="BE208" s="44"/>
      <c r="BF208" s="44"/>
    </row>
    <row r="209">
      <c r="A209" s="40">
        <v>46056.0</v>
      </c>
      <c r="B209" s="4" t="s">
        <v>173</v>
      </c>
      <c r="C209" s="4" t="s">
        <v>194</v>
      </c>
      <c r="D209" s="15" t="s">
        <v>93</v>
      </c>
      <c r="E209" s="15">
        <v>0.5</v>
      </c>
      <c r="V209" s="43">
        <f>IFERROR(__xludf.DUMMYFUNCTION("""COMPUTED_VALUE"""),46228.0)</f>
        <v>46228</v>
      </c>
      <c r="W209" s="44"/>
      <c r="X209" s="44"/>
      <c r="Y209" s="44"/>
      <c r="Z209" s="44"/>
      <c r="AU209" s="43">
        <v>46230.0</v>
      </c>
      <c r="AX209" s="15" t="s">
        <v>86</v>
      </c>
      <c r="BB209" s="43">
        <f>IFERROR(__xludf.DUMMYFUNCTION("""COMPUTED_VALUE"""),46230.0)</f>
        <v>46230</v>
      </c>
      <c r="BC209" s="44"/>
      <c r="BD209" s="44"/>
      <c r="BE209" s="44"/>
      <c r="BF209" s="44"/>
    </row>
    <row r="210">
      <c r="A210" s="40">
        <v>46056.0</v>
      </c>
      <c r="B210" s="4" t="s">
        <v>58</v>
      </c>
      <c r="C210" s="4" t="s">
        <v>259</v>
      </c>
      <c r="D210" s="15" t="s">
        <v>38</v>
      </c>
      <c r="E210" s="15">
        <v>1.0</v>
      </c>
      <c r="V210" s="43">
        <f>IFERROR(__xludf.DUMMYFUNCTION("""COMPUTED_VALUE"""),46229.0)</f>
        <v>46229</v>
      </c>
      <c r="W210" s="44"/>
      <c r="X210" s="44"/>
      <c r="Y210" s="44"/>
      <c r="Z210" s="44"/>
      <c r="AU210" s="43">
        <v>46231.0</v>
      </c>
      <c r="AX210" s="15" t="s">
        <v>86</v>
      </c>
      <c r="BB210" s="43">
        <f>IFERROR(__xludf.DUMMYFUNCTION("""COMPUTED_VALUE"""),46231.0)</f>
        <v>46231</v>
      </c>
      <c r="BC210" s="44"/>
      <c r="BD210" s="44"/>
      <c r="BE210" s="44"/>
      <c r="BF210" s="44"/>
    </row>
    <row r="211">
      <c r="A211" s="40">
        <v>46056.0</v>
      </c>
      <c r="B211" s="4" t="s">
        <v>221</v>
      </c>
      <c r="C211" s="4" t="s">
        <v>194</v>
      </c>
      <c r="D211" s="15" t="s">
        <v>53</v>
      </c>
      <c r="E211" s="15">
        <v>0.5</v>
      </c>
      <c r="V211" s="43">
        <f>IFERROR(__xludf.DUMMYFUNCTION("""COMPUTED_VALUE"""),46230.0)</f>
        <v>46230</v>
      </c>
      <c r="W211" s="44"/>
      <c r="X211" s="44"/>
      <c r="Y211" s="44"/>
      <c r="Z211" s="44"/>
      <c r="AU211" s="43">
        <v>46232.0</v>
      </c>
      <c r="AX211" s="15" t="s">
        <v>86</v>
      </c>
      <c r="BB211" s="43">
        <f>IFERROR(__xludf.DUMMYFUNCTION("""COMPUTED_VALUE"""),46232.0)</f>
        <v>46232</v>
      </c>
      <c r="BC211" s="44"/>
      <c r="BD211" s="44"/>
      <c r="BE211" s="44"/>
      <c r="BF211" s="44"/>
    </row>
    <row r="212">
      <c r="A212" s="40">
        <v>46056.0</v>
      </c>
      <c r="B212" s="4" t="s">
        <v>738</v>
      </c>
      <c r="C212" s="4" t="s">
        <v>796</v>
      </c>
      <c r="D212" s="15" t="s">
        <v>93</v>
      </c>
      <c r="E212" s="15">
        <v>2.5</v>
      </c>
      <c r="V212" s="43">
        <f>IFERROR(__xludf.DUMMYFUNCTION("""COMPUTED_VALUE"""),46231.0)</f>
        <v>46231</v>
      </c>
      <c r="W212" s="44"/>
      <c r="X212" s="44"/>
      <c r="Y212" s="44"/>
      <c r="Z212" s="44"/>
      <c r="AU212" s="43">
        <v>46233.0</v>
      </c>
      <c r="AX212" s="15" t="s">
        <v>86</v>
      </c>
      <c r="BB212" s="43">
        <f>IFERROR(__xludf.DUMMYFUNCTION("""COMPUTED_VALUE"""),46233.0)</f>
        <v>46233</v>
      </c>
      <c r="BC212" s="44"/>
      <c r="BD212" s="44"/>
      <c r="BE212" s="44"/>
      <c r="BF212" s="44"/>
    </row>
    <row r="213">
      <c r="A213" s="40">
        <v>46057.0</v>
      </c>
      <c r="B213" s="4" t="s">
        <v>189</v>
      </c>
      <c r="C213" s="4" t="s">
        <v>194</v>
      </c>
      <c r="D213" s="15" t="s">
        <v>93</v>
      </c>
      <c r="E213" s="15">
        <v>0.5</v>
      </c>
      <c r="V213" s="43">
        <f>IFERROR(__xludf.DUMMYFUNCTION("""COMPUTED_VALUE"""),46232.0)</f>
        <v>46232</v>
      </c>
      <c r="W213" s="44"/>
      <c r="X213" s="44"/>
      <c r="Y213" s="44"/>
      <c r="Z213" s="44"/>
      <c r="AU213" s="43">
        <v>46234.0</v>
      </c>
      <c r="AX213" s="15" t="s">
        <v>86</v>
      </c>
      <c r="BB213" s="43">
        <f>IFERROR(__xludf.DUMMYFUNCTION("""COMPUTED_VALUE"""),46234.0)</f>
        <v>46234</v>
      </c>
      <c r="BC213" s="44"/>
      <c r="BD213" s="44"/>
      <c r="BE213" s="44"/>
      <c r="BF213" s="44"/>
    </row>
    <row r="214">
      <c r="A214" s="40">
        <v>46057.0</v>
      </c>
      <c r="B214" s="4" t="s">
        <v>58</v>
      </c>
      <c r="C214" s="4" t="s">
        <v>259</v>
      </c>
      <c r="D214" s="15" t="s">
        <v>38</v>
      </c>
      <c r="E214" s="15">
        <v>1.0</v>
      </c>
      <c r="V214" s="43">
        <f>IFERROR(__xludf.DUMMYFUNCTION("""COMPUTED_VALUE"""),46233.0)</f>
        <v>46233</v>
      </c>
      <c r="W214" s="44"/>
      <c r="X214" s="44"/>
      <c r="Y214" s="44"/>
      <c r="Z214" s="44"/>
      <c r="AU214" s="43">
        <v>46235.0</v>
      </c>
      <c r="AX214" s="15" t="s">
        <v>86</v>
      </c>
      <c r="BB214" s="43">
        <f>IFERROR(__xludf.DUMMYFUNCTION("""COMPUTED_VALUE"""),46235.0)</f>
        <v>46235</v>
      </c>
      <c r="BC214" s="44"/>
      <c r="BD214" s="44"/>
      <c r="BE214" s="44"/>
      <c r="BF214" s="44"/>
    </row>
    <row r="215">
      <c r="A215" s="40">
        <v>46057.0</v>
      </c>
      <c r="B215" s="4" t="s">
        <v>173</v>
      </c>
      <c r="C215" s="4" t="s">
        <v>194</v>
      </c>
      <c r="D215" s="15" t="s">
        <v>93</v>
      </c>
      <c r="E215" s="15">
        <v>0.5</v>
      </c>
      <c r="V215" s="43">
        <f>IFERROR(__xludf.DUMMYFUNCTION("""COMPUTED_VALUE"""),46234.0)</f>
        <v>46234</v>
      </c>
      <c r="W215" s="44"/>
      <c r="X215" s="44"/>
      <c r="Y215" s="44"/>
      <c r="Z215" s="44"/>
      <c r="AU215" s="43">
        <v>46236.0</v>
      </c>
      <c r="AX215" s="15" t="s">
        <v>86</v>
      </c>
      <c r="BB215" s="43">
        <f>IFERROR(__xludf.DUMMYFUNCTION("""COMPUTED_VALUE"""),46236.0)</f>
        <v>46236</v>
      </c>
      <c r="BC215" s="44"/>
      <c r="BD215" s="44"/>
      <c r="BE215" s="44"/>
      <c r="BF215" s="44"/>
    </row>
    <row r="216">
      <c r="A216" s="40">
        <v>46057.0</v>
      </c>
      <c r="B216" s="4" t="s">
        <v>743</v>
      </c>
      <c r="C216" s="4" t="s">
        <v>259</v>
      </c>
      <c r="D216" s="15" t="s">
        <v>93</v>
      </c>
      <c r="E216" s="15">
        <v>1.0</v>
      </c>
      <c r="V216" s="43">
        <f>IFERROR(__xludf.DUMMYFUNCTION("""COMPUTED_VALUE"""),46235.0)</f>
        <v>46235</v>
      </c>
      <c r="W216" s="44"/>
      <c r="X216" s="44"/>
      <c r="Y216" s="44"/>
      <c r="Z216" s="44"/>
      <c r="AU216" s="43">
        <v>46237.0</v>
      </c>
      <c r="AX216" s="15" t="s">
        <v>86</v>
      </c>
      <c r="BB216" s="43">
        <f>IFERROR(__xludf.DUMMYFUNCTION("""COMPUTED_VALUE"""),46237.0)</f>
        <v>46237</v>
      </c>
      <c r="BC216" s="44"/>
      <c r="BD216" s="44"/>
      <c r="BE216" s="44"/>
      <c r="BF216" s="44"/>
    </row>
    <row r="217">
      <c r="A217" s="40">
        <v>46057.0</v>
      </c>
      <c r="B217" s="4" t="s">
        <v>522</v>
      </c>
      <c r="C217" s="4" t="s">
        <v>259</v>
      </c>
      <c r="D217" s="15" t="s">
        <v>53</v>
      </c>
      <c r="E217" s="15">
        <v>1.0</v>
      </c>
      <c r="V217" s="43">
        <f>IFERROR(__xludf.DUMMYFUNCTION("""COMPUTED_VALUE"""),46236.0)</f>
        <v>46236</v>
      </c>
      <c r="W217" s="44"/>
      <c r="X217" s="44"/>
      <c r="Y217" s="44"/>
      <c r="Z217" s="44"/>
      <c r="AU217" s="43">
        <v>46238.0</v>
      </c>
      <c r="AX217" s="15" t="s">
        <v>86</v>
      </c>
      <c r="BB217" s="43">
        <f>IFERROR(__xludf.DUMMYFUNCTION("""COMPUTED_VALUE"""),46238.0)</f>
        <v>46238</v>
      </c>
      <c r="BC217" s="44"/>
      <c r="BD217" s="44"/>
      <c r="BE217" s="44"/>
      <c r="BF217" s="44"/>
    </row>
    <row r="218">
      <c r="A218" s="40">
        <v>46057.0</v>
      </c>
      <c r="B218" s="4" t="s">
        <v>738</v>
      </c>
      <c r="C218" s="4" t="s">
        <v>194</v>
      </c>
      <c r="D218" s="15" t="s">
        <v>93</v>
      </c>
      <c r="E218" s="15">
        <v>0.5</v>
      </c>
      <c r="V218" s="43">
        <f>IFERROR(__xludf.DUMMYFUNCTION("""COMPUTED_VALUE"""),46237.0)</f>
        <v>46237</v>
      </c>
      <c r="W218" s="44"/>
      <c r="X218" s="44"/>
      <c r="Y218" s="44"/>
      <c r="Z218" s="44"/>
      <c r="AU218" s="43">
        <v>46239.0</v>
      </c>
      <c r="AX218" s="15" t="s">
        <v>86</v>
      </c>
      <c r="BB218" s="43">
        <f>IFERROR(__xludf.DUMMYFUNCTION("""COMPUTED_VALUE"""),46239.0)</f>
        <v>46239</v>
      </c>
      <c r="BC218" s="44"/>
      <c r="BD218" s="44"/>
      <c r="BE218" s="44"/>
      <c r="BF218" s="44"/>
    </row>
    <row r="219">
      <c r="A219" s="40">
        <v>46057.0</v>
      </c>
      <c r="B219" s="4" t="s">
        <v>173</v>
      </c>
      <c r="C219" s="4" t="s">
        <v>259</v>
      </c>
      <c r="D219" s="15" t="s">
        <v>93</v>
      </c>
      <c r="E219" s="15">
        <v>1.0</v>
      </c>
      <c r="V219" s="43">
        <f>IFERROR(__xludf.DUMMYFUNCTION("""COMPUTED_VALUE"""),46238.0)</f>
        <v>46238</v>
      </c>
      <c r="W219" s="44"/>
      <c r="X219" s="44"/>
      <c r="Y219" s="44"/>
      <c r="Z219" s="44"/>
      <c r="AU219" s="43">
        <v>46240.0</v>
      </c>
      <c r="AX219" s="15" t="s">
        <v>86</v>
      </c>
      <c r="BB219" s="43">
        <f>IFERROR(__xludf.DUMMYFUNCTION("""COMPUTED_VALUE"""),46240.0)</f>
        <v>46240</v>
      </c>
      <c r="BC219" s="44"/>
      <c r="BD219" s="44"/>
      <c r="BE219" s="44"/>
      <c r="BF219" s="44"/>
    </row>
    <row r="220">
      <c r="A220" s="40">
        <v>46057.0</v>
      </c>
      <c r="B220" s="4" t="s">
        <v>31</v>
      </c>
      <c r="C220" s="4" t="s">
        <v>194</v>
      </c>
      <c r="D220" s="15" t="s">
        <v>38</v>
      </c>
      <c r="E220" s="15">
        <v>0.5</v>
      </c>
      <c r="V220" s="43">
        <f>IFERROR(__xludf.DUMMYFUNCTION("""COMPUTED_VALUE"""),46239.0)</f>
        <v>46239</v>
      </c>
      <c r="W220" s="44"/>
      <c r="X220" s="44"/>
      <c r="Y220" s="44"/>
      <c r="Z220" s="44"/>
      <c r="AU220" s="43">
        <v>46241.0</v>
      </c>
      <c r="AX220" s="15" t="s">
        <v>86</v>
      </c>
      <c r="BB220" s="43">
        <f>IFERROR(__xludf.DUMMYFUNCTION("""COMPUTED_VALUE"""),46241.0)</f>
        <v>46241</v>
      </c>
      <c r="BC220" s="44"/>
      <c r="BD220" s="44"/>
      <c r="BE220" s="44"/>
      <c r="BF220" s="44"/>
    </row>
    <row r="221">
      <c r="A221" s="40">
        <v>46057.0</v>
      </c>
      <c r="B221" s="4" t="s">
        <v>743</v>
      </c>
      <c r="C221" s="4" t="s">
        <v>291</v>
      </c>
      <c r="D221" s="15" t="s">
        <v>93</v>
      </c>
      <c r="E221" s="15">
        <v>1.5</v>
      </c>
      <c r="V221" s="43">
        <f>IFERROR(__xludf.DUMMYFUNCTION("""COMPUTED_VALUE"""),46240.0)</f>
        <v>46240</v>
      </c>
      <c r="W221" s="44"/>
      <c r="X221" s="44"/>
      <c r="Y221" s="44"/>
      <c r="Z221" s="44"/>
      <c r="AU221" s="43">
        <v>46242.0</v>
      </c>
      <c r="AX221" s="15" t="s">
        <v>86</v>
      </c>
      <c r="BB221" s="43">
        <f>IFERROR(__xludf.DUMMYFUNCTION("""COMPUTED_VALUE"""),46242.0)</f>
        <v>46242</v>
      </c>
      <c r="BC221" s="44"/>
      <c r="BD221" s="44"/>
      <c r="BE221" s="44"/>
      <c r="BF221" s="44"/>
    </row>
    <row r="222">
      <c r="A222" s="40">
        <v>46057.0</v>
      </c>
      <c r="B222" s="4" t="s">
        <v>522</v>
      </c>
      <c r="C222" s="4" t="s">
        <v>558</v>
      </c>
      <c r="D222" s="15" t="s">
        <v>53</v>
      </c>
      <c r="E222" s="15">
        <v>2.0</v>
      </c>
      <c r="V222" s="43">
        <f>IFERROR(__xludf.DUMMYFUNCTION("""COMPUTED_VALUE"""),46241.0)</f>
        <v>46241</v>
      </c>
      <c r="W222" s="44"/>
      <c r="X222" s="44"/>
      <c r="Y222" s="44"/>
      <c r="Z222" s="44"/>
      <c r="AU222" s="43">
        <v>46243.0</v>
      </c>
      <c r="AX222" s="15" t="s">
        <v>86</v>
      </c>
      <c r="BB222" s="43">
        <f>IFERROR(__xludf.DUMMYFUNCTION("""COMPUTED_VALUE"""),46243.0)</f>
        <v>46243</v>
      </c>
      <c r="BC222" s="44"/>
      <c r="BD222" s="44"/>
      <c r="BE222" s="44"/>
      <c r="BF222" s="44"/>
    </row>
    <row r="223">
      <c r="A223" s="40">
        <v>46058.0</v>
      </c>
      <c r="B223" s="4" t="s">
        <v>189</v>
      </c>
      <c r="C223" s="4" t="s">
        <v>259</v>
      </c>
      <c r="D223" s="15" t="s">
        <v>93</v>
      </c>
      <c r="E223" s="15">
        <v>1.0</v>
      </c>
      <c r="V223" s="43">
        <f>IFERROR(__xludf.DUMMYFUNCTION("""COMPUTED_VALUE"""),46242.0)</f>
        <v>46242</v>
      </c>
      <c r="W223" s="44"/>
      <c r="X223" s="44"/>
      <c r="Y223" s="44"/>
      <c r="Z223" s="44"/>
      <c r="AU223" s="43">
        <v>46244.0</v>
      </c>
      <c r="AX223" s="15" t="s">
        <v>86</v>
      </c>
      <c r="BB223" s="43">
        <f>IFERROR(__xludf.DUMMYFUNCTION("""COMPUTED_VALUE"""),46244.0)</f>
        <v>46244</v>
      </c>
      <c r="BC223" s="44"/>
      <c r="BD223" s="44"/>
      <c r="BE223" s="44"/>
      <c r="BF223" s="44"/>
    </row>
    <row r="224">
      <c r="A224" s="40">
        <v>46058.0</v>
      </c>
      <c r="B224" s="4" t="s">
        <v>173</v>
      </c>
      <c r="C224" s="4" t="s">
        <v>420</v>
      </c>
      <c r="D224" s="15" t="s">
        <v>93</v>
      </c>
      <c r="E224" s="15">
        <v>0.25</v>
      </c>
      <c r="V224" s="43">
        <f>IFERROR(__xludf.DUMMYFUNCTION("""COMPUTED_VALUE"""),46243.0)</f>
        <v>46243</v>
      </c>
      <c r="W224" s="44"/>
      <c r="X224" s="44"/>
      <c r="Y224" s="44"/>
      <c r="Z224" s="44"/>
      <c r="AU224" s="43">
        <v>46245.0</v>
      </c>
      <c r="AX224" s="15" t="s">
        <v>86</v>
      </c>
      <c r="BB224" s="43">
        <f>IFERROR(__xludf.DUMMYFUNCTION("""COMPUTED_VALUE"""),46245.0)</f>
        <v>46245</v>
      </c>
      <c r="BC224" s="44"/>
      <c r="BD224" s="44"/>
      <c r="BE224" s="44"/>
      <c r="BF224" s="44"/>
    </row>
    <row r="225">
      <c r="A225" s="40">
        <v>46058.0</v>
      </c>
      <c r="B225" s="4" t="s">
        <v>192</v>
      </c>
      <c r="C225" s="4" t="s">
        <v>420</v>
      </c>
      <c r="D225" s="15" t="s">
        <v>93</v>
      </c>
      <c r="E225" s="15">
        <v>0.25</v>
      </c>
      <c r="V225" s="43">
        <f>IFERROR(__xludf.DUMMYFUNCTION("""COMPUTED_VALUE"""),46244.0)</f>
        <v>46244</v>
      </c>
      <c r="W225" s="44"/>
      <c r="X225" s="44"/>
      <c r="Y225" s="44"/>
      <c r="Z225" s="44"/>
      <c r="AU225" s="43">
        <v>46246.0</v>
      </c>
      <c r="AX225" s="15" t="s">
        <v>86</v>
      </c>
      <c r="BB225" s="43">
        <f>IFERROR(__xludf.DUMMYFUNCTION("""COMPUTED_VALUE"""),46246.0)</f>
        <v>46246</v>
      </c>
      <c r="BC225" s="44"/>
      <c r="BD225" s="44"/>
      <c r="BE225" s="44"/>
      <c r="BF225" s="44"/>
    </row>
    <row r="226">
      <c r="A226" s="40">
        <v>46058.0</v>
      </c>
      <c r="B226" s="4" t="s">
        <v>196</v>
      </c>
      <c r="C226" s="4" t="s">
        <v>194</v>
      </c>
      <c r="D226" s="15" t="s">
        <v>93</v>
      </c>
      <c r="E226" s="15">
        <v>0.5</v>
      </c>
      <c r="V226" s="43">
        <f>IFERROR(__xludf.DUMMYFUNCTION("""COMPUTED_VALUE"""),46245.0)</f>
        <v>46245</v>
      </c>
      <c r="W226" s="44"/>
      <c r="X226" s="44"/>
      <c r="Y226" s="44"/>
      <c r="Z226" s="44"/>
      <c r="AU226" s="43">
        <v>46247.0</v>
      </c>
      <c r="AX226" s="15" t="s">
        <v>86</v>
      </c>
      <c r="BB226" s="43">
        <f>IFERROR(__xludf.DUMMYFUNCTION("""COMPUTED_VALUE"""),46247.0)</f>
        <v>46247</v>
      </c>
      <c r="BC226" s="44"/>
      <c r="BD226" s="44"/>
      <c r="BE226" s="44"/>
      <c r="BF226" s="44"/>
    </row>
    <row r="227">
      <c r="A227" s="40">
        <v>46058.0</v>
      </c>
      <c r="B227" s="4" t="s">
        <v>173</v>
      </c>
      <c r="C227" s="4" t="s">
        <v>194</v>
      </c>
      <c r="D227" s="15" t="s">
        <v>93</v>
      </c>
      <c r="E227" s="15">
        <v>0.5</v>
      </c>
      <c r="V227" s="43">
        <f>IFERROR(__xludf.DUMMYFUNCTION("""COMPUTED_VALUE"""),46246.0)</f>
        <v>46246</v>
      </c>
      <c r="W227" s="44"/>
      <c r="X227" s="44"/>
      <c r="Y227" s="44"/>
      <c r="Z227" s="44"/>
      <c r="AU227" s="43">
        <v>46248.0</v>
      </c>
      <c r="AX227" s="15" t="s">
        <v>86</v>
      </c>
      <c r="BB227" s="43">
        <f>IFERROR(__xludf.DUMMYFUNCTION("""COMPUTED_VALUE"""),46248.0)</f>
        <v>46248</v>
      </c>
      <c r="BC227" s="44"/>
      <c r="BD227" s="44"/>
      <c r="BE227" s="44"/>
      <c r="BF227" s="44"/>
    </row>
    <row r="228">
      <c r="A228" s="40">
        <v>46058.0</v>
      </c>
      <c r="B228" s="4" t="s">
        <v>205</v>
      </c>
      <c r="C228" s="4" t="s">
        <v>259</v>
      </c>
      <c r="D228" s="15" t="s">
        <v>53</v>
      </c>
      <c r="E228" s="15">
        <v>1.0</v>
      </c>
      <c r="V228" s="43">
        <f>IFERROR(__xludf.DUMMYFUNCTION("""COMPUTED_VALUE"""),46247.0)</f>
        <v>46247</v>
      </c>
      <c r="W228" s="44"/>
      <c r="X228" s="44"/>
      <c r="Y228" s="44"/>
      <c r="Z228" s="44"/>
      <c r="AU228" s="43">
        <v>46249.0</v>
      </c>
      <c r="AX228" s="15" t="s">
        <v>86</v>
      </c>
      <c r="BB228" s="43">
        <f>IFERROR(__xludf.DUMMYFUNCTION("""COMPUTED_VALUE"""),46249.0)</f>
        <v>46249</v>
      </c>
      <c r="BC228" s="44"/>
      <c r="BD228" s="44"/>
      <c r="BE228" s="44"/>
      <c r="BF228" s="44"/>
    </row>
    <row r="229">
      <c r="A229" s="40">
        <v>46058.0</v>
      </c>
      <c r="B229" s="4" t="s">
        <v>48</v>
      </c>
      <c r="C229" s="4" t="s">
        <v>259</v>
      </c>
      <c r="D229" s="15" t="s">
        <v>38</v>
      </c>
      <c r="E229" s="15">
        <v>1.0</v>
      </c>
      <c r="V229" s="43">
        <f>IFERROR(__xludf.DUMMYFUNCTION("""COMPUTED_VALUE"""),46248.0)</f>
        <v>46248</v>
      </c>
      <c r="W229" s="44"/>
      <c r="X229" s="44"/>
      <c r="Y229" s="44"/>
      <c r="Z229" s="44"/>
      <c r="AU229" s="43">
        <v>46250.0</v>
      </c>
      <c r="AX229" s="15" t="s">
        <v>86</v>
      </c>
      <c r="BB229" s="43">
        <f>IFERROR(__xludf.DUMMYFUNCTION("""COMPUTED_VALUE"""),46250.0)</f>
        <v>46250</v>
      </c>
      <c r="BC229" s="44"/>
      <c r="BD229" s="44"/>
      <c r="BE229" s="44"/>
      <c r="BF229" s="44"/>
    </row>
    <row r="230">
      <c r="A230" s="40">
        <v>46058.0</v>
      </c>
      <c r="B230" s="4" t="s">
        <v>31</v>
      </c>
      <c r="C230" s="4" t="s">
        <v>194</v>
      </c>
      <c r="D230" s="15" t="s">
        <v>38</v>
      </c>
      <c r="E230" s="15">
        <v>0.5</v>
      </c>
      <c r="V230" s="43">
        <f>IFERROR(__xludf.DUMMYFUNCTION("""COMPUTED_VALUE"""),46249.0)</f>
        <v>46249</v>
      </c>
      <c r="W230" s="44"/>
      <c r="X230" s="44"/>
      <c r="Y230" s="44"/>
      <c r="Z230" s="44"/>
      <c r="AU230" s="43">
        <v>46251.0</v>
      </c>
      <c r="AX230" s="15" t="s">
        <v>86</v>
      </c>
      <c r="BB230" s="43">
        <f>IFERROR(__xludf.DUMMYFUNCTION("""COMPUTED_VALUE"""),46251.0)</f>
        <v>46251</v>
      </c>
      <c r="BC230" s="44"/>
      <c r="BD230" s="44"/>
      <c r="BE230" s="44"/>
      <c r="BF230" s="44"/>
    </row>
    <row r="231">
      <c r="A231" s="40">
        <v>46058.0</v>
      </c>
      <c r="B231" s="4" t="s">
        <v>208</v>
      </c>
      <c r="C231" s="4" t="s">
        <v>194</v>
      </c>
      <c r="D231" s="15" t="s">
        <v>53</v>
      </c>
      <c r="E231" s="15">
        <v>0.5</v>
      </c>
      <c r="V231" s="43">
        <f>IFERROR(__xludf.DUMMYFUNCTION("""COMPUTED_VALUE"""),46250.0)</f>
        <v>46250</v>
      </c>
      <c r="W231" s="44"/>
      <c r="X231" s="44"/>
      <c r="Y231" s="44"/>
      <c r="Z231" s="44"/>
      <c r="AU231" s="43">
        <v>46252.0</v>
      </c>
      <c r="AX231" s="15" t="s">
        <v>86</v>
      </c>
      <c r="BB231" s="43">
        <f>IFERROR(__xludf.DUMMYFUNCTION("""COMPUTED_VALUE"""),46252.0)</f>
        <v>46252</v>
      </c>
      <c r="BC231" s="44"/>
      <c r="BD231" s="44"/>
      <c r="BE231" s="44"/>
      <c r="BF231" s="44"/>
    </row>
    <row r="232">
      <c r="A232" s="40">
        <v>46058.0</v>
      </c>
      <c r="B232" s="4" t="s">
        <v>58</v>
      </c>
      <c r="C232" s="4" t="s">
        <v>259</v>
      </c>
      <c r="D232" s="15" t="s">
        <v>38</v>
      </c>
      <c r="E232" s="15">
        <v>1.0</v>
      </c>
      <c r="V232" s="43">
        <f>IFERROR(__xludf.DUMMYFUNCTION("""COMPUTED_VALUE"""),46251.0)</f>
        <v>46251</v>
      </c>
      <c r="W232" s="44"/>
      <c r="X232" s="44"/>
      <c r="Y232" s="44"/>
      <c r="Z232" s="44"/>
      <c r="AU232" s="43">
        <v>46253.0</v>
      </c>
      <c r="AX232" s="15" t="s">
        <v>86</v>
      </c>
      <c r="BB232" s="43">
        <f>IFERROR(__xludf.DUMMYFUNCTION("""COMPUTED_VALUE"""),46253.0)</f>
        <v>46253</v>
      </c>
      <c r="BC232" s="44"/>
      <c r="BD232" s="44"/>
      <c r="BE232" s="44"/>
      <c r="BF232" s="44"/>
    </row>
    <row r="233">
      <c r="A233" s="40">
        <v>46058.0</v>
      </c>
      <c r="B233" s="4" t="s">
        <v>31</v>
      </c>
      <c r="C233" s="4" t="s">
        <v>194</v>
      </c>
      <c r="D233" s="15" t="s">
        <v>38</v>
      </c>
      <c r="E233" s="15">
        <v>0.5</v>
      </c>
      <c r="V233" s="43">
        <f>IFERROR(__xludf.DUMMYFUNCTION("""COMPUTED_VALUE"""),46252.0)</f>
        <v>46252</v>
      </c>
      <c r="W233" s="44"/>
      <c r="X233" s="44"/>
      <c r="Y233" s="44"/>
      <c r="Z233" s="44"/>
      <c r="AU233" s="43">
        <v>46254.0</v>
      </c>
      <c r="AX233" s="15" t="s">
        <v>86</v>
      </c>
      <c r="BB233" s="43">
        <f>IFERROR(__xludf.DUMMYFUNCTION("""COMPUTED_VALUE"""),46254.0)</f>
        <v>46254</v>
      </c>
      <c r="BC233" s="44"/>
      <c r="BD233" s="44"/>
      <c r="BE233" s="44"/>
      <c r="BF233" s="44"/>
    </row>
    <row r="234">
      <c r="A234" s="40">
        <v>46058.0</v>
      </c>
      <c r="B234" s="4" t="s">
        <v>170</v>
      </c>
      <c r="C234" s="4" t="s">
        <v>194</v>
      </c>
      <c r="D234" s="15" t="s">
        <v>93</v>
      </c>
      <c r="E234" s="15">
        <v>0.5</v>
      </c>
      <c r="V234" s="43">
        <f>IFERROR(__xludf.DUMMYFUNCTION("""COMPUTED_VALUE"""),46253.0)</f>
        <v>46253</v>
      </c>
      <c r="W234" s="44"/>
      <c r="X234" s="44"/>
      <c r="Y234" s="44"/>
      <c r="Z234" s="44"/>
      <c r="AU234" s="43">
        <v>46255.0</v>
      </c>
      <c r="AX234" s="15" t="s">
        <v>86</v>
      </c>
      <c r="BB234" s="43">
        <f>IFERROR(__xludf.DUMMYFUNCTION("""COMPUTED_VALUE"""),46255.0)</f>
        <v>46255</v>
      </c>
      <c r="BC234" s="44"/>
      <c r="BD234" s="44"/>
      <c r="BE234" s="44"/>
      <c r="BF234" s="44"/>
    </row>
    <row r="235">
      <c r="A235" s="40">
        <v>46058.0</v>
      </c>
      <c r="B235" s="4" t="s">
        <v>173</v>
      </c>
      <c r="C235" s="4" t="s">
        <v>194</v>
      </c>
      <c r="D235" s="15" t="s">
        <v>93</v>
      </c>
      <c r="E235" s="15">
        <v>0.5</v>
      </c>
      <c r="V235" s="43">
        <f>IFERROR(__xludf.DUMMYFUNCTION("""COMPUTED_VALUE"""),46254.0)</f>
        <v>46254</v>
      </c>
      <c r="W235" s="44"/>
      <c r="X235" s="44"/>
      <c r="Y235" s="44"/>
      <c r="Z235" s="44"/>
      <c r="AU235" s="43">
        <v>46256.0</v>
      </c>
      <c r="AX235" s="15" t="s">
        <v>86</v>
      </c>
      <c r="BB235" s="43">
        <f>IFERROR(__xludf.DUMMYFUNCTION("""COMPUTED_VALUE"""),46256.0)</f>
        <v>46256</v>
      </c>
      <c r="BC235" s="44"/>
      <c r="BD235" s="44"/>
      <c r="BE235" s="44"/>
      <c r="BF235" s="44"/>
    </row>
    <row r="236">
      <c r="A236" s="40">
        <v>46058.0</v>
      </c>
      <c r="B236" s="4" t="s">
        <v>212</v>
      </c>
      <c r="C236" s="4" t="s">
        <v>291</v>
      </c>
      <c r="D236" s="15" t="s">
        <v>53</v>
      </c>
      <c r="E236" s="15">
        <v>1.5</v>
      </c>
      <c r="V236" s="43">
        <f>IFERROR(__xludf.DUMMYFUNCTION("""COMPUTED_VALUE"""),46255.0)</f>
        <v>46255</v>
      </c>
      <c r="W236" s="44"/>
      <c r="X236" s="44"/>
      <c r="Y236" s="44"/>
      <c r="Z236" s="44"/>
      <c r="AU236" s="43">
        <v>46257.0</v>
      </c>
      <c r="AX236" s="15" t="s">
        <v>86</v>
      </c>
      <c r="BB236" s="43">
        <f>IFERROR(__xludf.DUMMYFUNCTION("""COMPUTED_VALUE"""),46257.0)</f>
        <v>46257</v>
      </c>
      <c r="BC236" s="44"/>
      <c r="BD236" s="44"/>
      <c r="BE236" s="44"/>
      <c r="BF236" s="44"/>
    </row>
    <row r="237">
      <c r="A237" s="40">
        <v>46059.0</v>
      </c>
      <c r="B237" s="4" t="s">
        <v>170</v>
      </c>
      <c r="C237" s="4" t="s">
        <v>194</v>
      </c>
      <c r="D237" s="15" t="s">
        <v>93</v>
      </c>
      <c r="E237" s="15">
        <v>0.5</v>
      </c>
      <c r="V237" s="43">
        <f>IFERROR(__xludf.DUMMYFUNCTION("""COMPUTED_VALUE"""),46256.0)</f>
        <v>46256</v>
      </c>
      <c r="W237" s="44"/>
      <c r="X237" s="44"/>
      <c r="Y237" s="44"/>
      <c r="Z237" s="44"/>
      <c r="AU237" s="43">
        <v>46258.0</v>
      </c>
      <c r="AX237" s="15" t="s">
        <v>86</v>
      </c>
      <c r="BB237" s="43">
        <f>IFERROR(__xludf.DUMMYFUNCTION("""COMPUTED_VALUE"""),46258.0)</f>
        <v>46258</v>
      </c>
      <c r="BC237" s="44"/>
      <c r="BD237" s="44"/>
      <c r="BE237" s="44"/>
      <c r="BF237" s="44"/>
    </row>
    <row r="238">
      <c r="A238" s="40">
        <v>46059.0</v>
      </c>
      <c r="B238" s="4" t="s">
        <v>752</v>
      </c>
      <c r="C238" s="4" t="s">
        <v>194</v>
      </c>
      <c r="D238" s="15" t="s">
        <v>93</v>
      </c>
      <c r="E238" s="15">
        <v>0.5</v>
      </c>
      <c r="V238" s="43">
        <f>IFERROR(__xludf.DUMMYFUNCTION("""COMPUTED_VALUE"""),46257.0)</f>
        <v>46257</v>
      </c>
      <c r="W238" s="44"/>
      <c r="X238" s="44"/>
      <c r="Y238" s="44"/>
      <c r="Z238" s="44"/>
      <c r="AU238" s="43">
        <v>46259.0</v>
      </c>
      <c r="AX238" s="15" t="s">
        <v>86</v>
      </c>
      <c r="BB238" s="43">
        <f>IFERROR(__xludf.DUMMYFUNCTION("""COMPUTED_VALUE"""),46259.0)</f>
        <v>46259</v>
      </c>
      <c r="BC238" s="44"/>
      <c r="BD238" s="44"/>
      <c r="BE238" s="44"/>
      <c r="BF238" s="44"/>
    </row>
    <row r="239">
      <c r="A239" s="40">
        <v>46059.0</v>
      </c>
      <c r="B239" s="4" t="s">
        <v>48</v>
      </c>
      <c r="C239" s="4" t="s">
        <v>194</v>
      </c>
      <c r="D239" s="15" t="s">
        <v>38</v>
      </c>
      <c r="E239" s="15">
        <v>0.5</v>
      </c>
      <c r="V239" s="43">
        <f>IFERROR(__xludf.DUMMYFUNCTION("""COMPUTED_VALUE"""),46258.0)</f>
        <v>46258</v>
      </c>
      <c r="W239" s="44"/>
      <c r="X239" s="44"/>
      <c r="Y239" s="44"/>
      <c r="Z239" s="44"/>
      <c r="AU239" s="43">
        <v>46260.0</v>
      </c>
      <c r="AX239" s="15" t="s">
        <v>86</v>
      </c>
      <c r="BB239" s="43">
        <f>IFERROR(__xludf.DUMMYFUNCTION("""COMPUTED_VALUE"""),46260.0)</f>
        <v>46260</v>
      </c>
      <c r="BC239" s="44"/>
      <c r="BD239" s="44"/>
      <c r="BE239" s="44"/>
      <c r="BF239" s="44"/>
    </row>
    <row r="240">
      <c r="A240" s="40">
        <v>46059.0</v>
      </c>
      <c r="B240" s="4" t="s">
        <v>173</v>
      </c>
      <c r="C240" s="4" t="s">
        <v>194</v>
      </c>
      <c r="D240" s="15" t="s">
        <v>93</v>
      </c>
      <c r="E240" s="15">
        <v>0.5</v>
      </c>
      <c r="V240" s="43">
        <f>IFERROR(__xludf.DUMMYFUNCTION("""COMPUTED_VALUE"""),46259.0)</f>
        <v>46259</v>
      </c>
      <c r="W240" s="44"/>
      <c r="X240" s="44"/>
      <c r="Y240" s="44"/>
      <c r="Z240" s="44"/>
      <c r="AU240" s="43">
        <v>46261.0</v>
      </c>
      <c r="AX240" s="15" t="s">
        <v>86</v>
      </c>
      <c r="BB240" s="43">
        <f>IFERROR(__xludf.DUMMYFUNCTION("""COMPUTED_VALUE"""),46261.0)</f>
        <v>46261</v>
      </c>
      <c r="BC240" s="44"/>
      <c r="BD240" s="44"/>
      <c r="BE240" s="44"/>
      <c r="BF240" s="44"/>
    </row>
    <row r="241">
      <c r="A241" s="40">
        <v>46059.0</v>
      </c>
      <c r="B241" s="4" t="s">
        <v>196</v>
      </c>
      <c r="C241" s="4" t="s">
        <v>194</v>
      </c>
      <c r="D241" s="15" t="s">
        <v>93</v>
      </c>
      <c r="E241" s="15">
        <v>0.5</v>
      </c>
      <c r="V241" s="43">
        <f>IFERROR(__xludf.DUMMYFUNCTION("""COMPUTED_VALUE"""),46260.0)</f>
        <v>46260</v>
      </c>
      <c r="W241" s="44"/>
      <c r="X241" s="44"/>
      <c r="Y241" s="44"/>
      <c r="Z241" s="44"/>
      <c r="AU241" s="43">
        <v>46262.0</v>
      </c>
      <c r="AX241" s="15" t="s">
        <v>86</v>
      </c>
      <c r="BB241" s="43">
        <f>IFERROR(__xludf.DUMMYFUNCTION("""COMPUTED_VALUE"""),46262.0)</f>
        <v>46262</v>
      </c>
      <c r="BC241" s="44"/>
      <c r="BD241" s="44"/>
      <c r="BE241" s="44"/>
      <c r="BF241" s="44"/>
    </row>
    <row r="242">
      <c r="A242" s="40">
        <v>46059.0</v>
      </c>
      <c r="B242" s="4" t="s">
        <v>208</v>
      </c>
      <c r="C242" s="4" t="s">
        <v>194</v>
      </c>
      <c r="D242" s="15" t="s">
        <v>53</v>
      </c>
      <c r="E242" s="15">
        <v>0.5</v>
      </c>
      <c r="V242" s="43">
        <f>IFERROR(__xludf.DUMMYFUNCTION("""COMPUTED_VALUE"""),46261.0)</f>
        <v>46261</v>
      </c>
      <c r="W242" s="44"/>
      <c r="X242" s="44"/>
      <c r="Y242" s="44"/>
      <c r="Z242" s="44"/>
      <c r="AU242" s="43">
        <v>46263.0</v>
      </c>
      <c r="AX242" s="15" t="s">
        <v>86</v>
      </c>
      <c r="BB242" s="43">
        <f>IFERROR(__xludf.DUMMYFUNCTION("""COMPUTED_VALUE"""),46263.0)</f>
        <v>46263</v>
      </c>
      <c r="BC242" s="44"/>
      <c r="BD242" s="44"/>
      <c r="BE242" s="44"/>
      <c r="BF242" s="44"/>
    </row>
    <row r="243">
      <c r="A243" s="40">
        <v>46059.0</v>
      </c>
      <c r="B243" s="4" t="s">
        <v>31</v>
      </c>
      <c r="C243" s="4" t="s">
        <v>194</v>
      </c>
      <c r="D243" s="15" t="s">
        <v>38</v>
      </c>
      <c r="E243" s="15">
        <v>0.5</v>
      </c>
      <c r="V243" s="43">
        <f>IFERROR(__xludf.DUMMYFUNCTION("""COMPUTED_VALUE"""),46262.0)</f>
        <v>46262</v>
      </c>
      <c r="W243" s="44"/>
      <c r="X243" s="44"/>
      <c r="Y243" s="44"/>
      <c r="Z243" s="44"/>
      <c r="AU243" s="43">
        <v>46264.0</v>
      </c>
      <c r="AX243" s="15" t="s">
        <v>86</v>
      </c>
      <c r="BB243" s="43">
        <f>IFERROR(__xludf.DUMMYFUNCTION("""COMPUTED_VALUE"""),46264.0)</f>
        <v>46264</v>
      </c>
      <c r="BC243" s="44"/>
      <c r="BD243" s="44"/>
      <c r="BE243" s="44"/>
      <c r="BF243" s="44"/>
    </row>
    <row r="244">
      <c r="A244" s="40">
        <v>46059.0</v>
      </c>
      <c r="B244" s="4" t="s">
        <v>58</v>
      </c>
      <c r="C244" s="4" t="s">
        <v>194</v>
      </c>
      <c r="D244" s="15" t="s">
        <v>38</v>
      </c>
      <c r="E244" s="15">
        <v>0.5</v>
      </c>
      <c r="V244" s="43">
        <f>IFERROR(__xludf.DUMMYFUNCTION("""COMPUTED_VALUE"""),46263.0)</f>
        <v>46263</v>
      </c>
      <c r="W244" s="44"/>
      <c r="X244" s="44"/>
      <c r="Y244" s="44"/>
      <c r="Z244" s="44"/>
      <c r="AU244" s="43">
        <v>46265.0</v>
      </c>
      <c r="AX244" s="15" t="s">
        <v>86</v>
      </c>
      <c r="BB244" s="43">
        <f>IFERROR(__xludf.DUMMYFUNCTION("""COMPUTED_VALUE"""),46265.0)</f>
        <v>46265</v>
      </c>
      <c r="BC244" s="44"/>
      <c r="BD244" s="44"/>
      <c r="BE244" s="44"/>
      <c r="BF244" s="44"/>
    </row>
    <row r="245">
      <c r="A245" s="40">
        <v>46059.0</v>
      </c>
      <c r="B245" s="4" t="s">
        <v>58</v>
      </c>
      <c r="C245" s="4" t="s">
        <v>194</v>
      </c>
      <c r="D245" s="15" t="s">
        <v>38</v>
      </c>
      <c r="E245" s="15">
        <v>0.5</v>
      </c>
      <c r="V245" s="43">
        <f>IFERROR(__xludf.DUMMYFUNCTION("""COMPUTED_VALUE"""),46264.0)</f>
        <v>46264</v>
      </c>
      <c r="W245" s="44"/>
      <c r="X245" s="44"/>
      <c r="Y245" s="44"/>
      <c r="Z245" s="44"/>
      <c r="AU245" s="43">
        <v>46266.0</v>
      </c>
      <c r="AX245" s="15" t="s">
        <v>86</v>
      </c>
      <c r="BB245" s="43">
        <f>IFERROR(__xludf.DUMMYFUNCTION("""COMPUTED_VALUE"""),46266.0)</f>
        <v>46266</v>
      </c>
      <c r="BC245" s="44"/>
      <c r="BD245" s="44"/>
      <c r="BE245" s="44"/>
      <c r="BF245" s="44"/>
    </row>
    <row r="246">
      <c r="A246" s="40">
        <v>46059.0</v>
      </c>
      <c r="B246" s="4" t="s">
        <v>208</v>
      </c>
      <c r="C246" s="4" t="s">
        <v>291</v>
      </c>
      <c r="D246" s="15" t="s">
        <v>53</v>
      </c>
      <c r="E246" s="15">
        <v>1.5</v>
      </c>
      <c r="V246" s="43">
        <f>IFERROR(__xludf.DUMMYFUNCTION("""COMPUTED_VALUE"""),46265.0)</f>
        <v>46265</v>
      </c>
      <c r="W246" s="44"/>
      <c r="X246" s="44"/>
      <c r="Y246" s="44"/>
      <c r="Z246" s="44"/>
      <c r="AU246" s="43">
        <v>46267.0</v>
      </c>
      <c r="AX246" s="15" t="s">
        <v>86</v>
      </c>
      <c r="BB246" s="43">
        <f>IFERROR(__xludf.DUMMYFUNCTION("""COMPUTED_VALUE"""),46267.0)</f>
        <v>46267</v>
      </c>
      <c r="BC246" s="44"/>
      <c r="BD246" s="44"/>
      <c r="BE246" s="44"/>
      <c r="BF246" s="44"/>
    </row>
    <row r="247">
      <c r="A247" s="40">
        <v>46059.0</v>
      </c>
      <c r="B247" s="4" t="s">
        <v>552</v>
      </c>
      <c r="C247" s="4" t="s">
        <v>291</v>
      </c>
      <c r="D247" s="15" t="s">
        <v>93</v>
      </c>
      <c r="E247" s="15">
        <v>1.5</v>
      </c>
      <c r="AU247" s="43">
        <v>46268.0</v>
      </c>
      <c r="AX247" s="15" t="s">
        <v>86</v>
      </c>
      <c r="BB247" s="43">
        <f>IFERROR(__xludf.DUMMYFUNCTION("""COMPUTED_VALUE"""),46268.0)</f>
        <v>46268</v>
      </c>
      <c r="BC247" s="44"/>
      <c r="BD247" s="44"/>
      <c r="BE247" s="44"/>
      <c r="BF247" s="44"/>
    </row>
    <row r="248">
      <c r="A248" s="40">
        <v>46059.0</v>
      </c>
      <c r="B248" s="4" t="s">
        <v>522</v>
      </c>
      <c r="C248" s="4" t="s">
        <v>558</v>
      </c>
      <c r="D248" s="15" t="s">
        <v>53</v>
      </c>
      <c r="E248" s="15">
        <v>2.0</v>
      </c>
      <c r="AU248" s="43">
        <v>46269.0</v>
      </c>
      <c r="AX248" s="15" t="s">
        <v>86</v>
      </c>
      <c r="BB248" s="43">
        <f>IFERROR(__xludf.DUMMYFUNCTION("""COMPUTED_VALUE"""),46269.0)</f>
        <v>46269</v>
      </c>
      <c r="BC248" s="44"/>
      <c r="BD248" s="44"/>
      <c r="BE248" s="44"/>
      <c r="BF248" s="44"/>
    </row>
    <row r="249">
      <c r="A249" s="40">
        <v>46059.0</v>
      </c>
      <c r="B249" s="4" t="s">
        <v>189</v>
      </c>
      <c r="C249" s="4" t="s">
        <v>259</v>
      </c>
      <c r="D249" s="15" t="s">
        <v>93</v>
      </c>
      <c r="E249" s="15">
        <v>1.0</v>
      </c>
      <c r="AU249" s="43">
        <v>46270.0</v>
      </c>
      <c r="AX249" s="15" t="s">
        <v>86</v>
      </c>
      <c r="BB249" s="43">
        <f>IFERROR(__xludf.DUMMYFUNCTION("""COMPUTED_VALUE"""),46270.0)</f>
        <v>46270</v>
      </c>
      <c r="BC249" s="44"/>
      <c r="BD249" s="44"/>
      <c r="BE249" s="44"/>
      <c r="BF249" s="44"/>
    </row>
    <row r="250">
      <c r="A250" s="40">
        <v>46059.0</v>
      </c>
      <c r="B250" s="4" t="s">
        <v>221</v>
      </c>
      <c r="C250" s="4" t="s">
        <v>259</v>
      </c>
      <c r="D250" s="15" t="s">
        <v>53</v>
      </c>
      <c r="E250" s="15">
        <v>1.0</v>
      </c>
      <c r="AU250" s="43">
        <v>46271.0</v>
      </c>
      <c r="AX250" s="15" t="s">
        <v>86</v>
      </c>
      <c r="BB250" s="43">
        <f>IFERROR(__xludf.DUMMYFUNCTION("""COMPUTED_VALUE"""),46271.0)</f>
        <v>46271</v>
      </c>
      <c r="BC250" s="44"/>
      <c r="BD250" s="44"/>
      <c r="BE250" s="44"/>
      <c r="BF250" s="44"/>
    </row>
    <row r="251">
      <c r="A251" s="40">
        <v>46062.0</v>
      </c>
      <c r="B251" s="4" t="s">
        <v>189</v>
      </c>
      <c r="C251" s="4" t="s">
        <v>194</v>
      </c>
      <c r="D251" s="15" t="s">
        <v>93</v>
      </c>
      <c r="E251" s="15">
        <v>0.5</v>
      </c>
      <c r="AU251" s="43">
        <v>46272.0</v>
      </c>
      <c r="AX251" s="15" t="s">
        <v>86</v>
      </c>
      <c r="BB251" s="43">
        <f>IFERROR(__xludf.DUMMYFUNCTION("""COMPUTED_VALUE"""),46272.0)</f>
        <v>46272</v>
      </c>
      <c r="BC251" s="44"/>
      <c r="BD251" s="44"/>
      <c r="BE251" s="44"/>
      <c r="BF251" s="44"/>
    </row>
    <row r="252">
      <c r="A252" s="40">
        <v>46062.0</v>
      </c>
      <c r="B252" s="4" t="s">
        <v>205</v>
      </c>
      <c r="C252" s="4" t="s">
        <v>194</v>
      </c>
      <c r="D252" s="15" t="s">
        <v>53</v>
      </c>
      <c r="E252" s="15">
        <v>0.5</v>
      </c>
      <c r="AU252" s="43">
        <v>46273.0</v>
      </c>
      <c r="AX252" s="15" t="s">
        <v>86</v>
      </c>
      <c r="BB252" s="43">
        <f>IFERROR(__xludf.DUMMYFUNCTION("""COMPUTED_VALUE"""),46273.0)</f>
        <v>46273</v>
      </c>
      <c r="BC252" s="44"/>
      <c r="BD252" s="44"/>
      <c r="BE252" s="44"/>
      <c r="BF252" s="44"/>
    </row>
    <row r="253">
      <c r="A253" s="40">
        <v>46062.0</v>
      </c>
      <c r="B253" s="4" t="s">
        <v>196</v>
      </c>
      <c r="C253" s="4" t="s">
        <v>259</v>
      </c>
      <c r="D253" s="15" t="s">
        <v>93</v>
      </c>
      <c r="E253" s="15">
        <v>1.0</v>
      </c>
      <c r="AU253" s="43">
        <v>46274.0</v>
      </c>
      <c r="AX253" s="15" t="s">
        <v>86</v>
      </c>
      <c r="BB253" s="43">
        <f>IFERROR(__xludf.DUMMYFUNCTION("""COMPUTED_VALUE"""),46274.0)</f>
        <v>46274</v>
      </c>
      <c r="BC253" s="44"/>
      <c r="BD253" s="44"/>
      <c r="BE253" s="44"/>
      <c r="BF253" s="44"/>
    </row>
    <row r="254">
      <c r="A254" s="40">
        <v>46062.0</v>
      </c>
      <c r="B254" s="4" t="s">
        <v>173</v>
      </c>
      <c r="C254" s="4" t="s">
        <v>420</v>
      </c>
      <c r="D254" s="15" t="s">
        <v>93</v>
      </c>
      <c r="E254" s="15">
        <v>0.25</v>
      </c>
      <c r="AU254" s="43">
        <v>46275.0</v>
      </c>
      <c r="AX254" s="15" t="s">
        <v>86</v>
      </c>
      <c r="BB254" s="43">
        <f>IFERROR(__xludf.DUMMYFUNCTION("""COMPUTED_VALUE"""),46275.0)</f>
        <v>46275</v>
      </c>
      <c r="BC254" s="44"/>
      <c r="BD254" s="44"/>
      <c r="BE254" s="44"/>
      <c r="BF254" s="44"/>
    </row>
    <row r="255">
      <c r="A255" s="40">
        <v>46062.0</v>
      </c>
      <c r="B255" s="4" t="s">
        <v>230</v>
      </c>
      <c r="C255" s="4" t="s">
        <v>194</v>
      </c>
      <c r="D255" s="15" t="s">
        <v>53</v>
      </c>
      <c r="E255" s="15">
        <v>0.5</v>
      </c>
      <c r="AU255" s="43">
        <v>46276.0</v>
      </c>
      <c r="AX255" s="15" t="s">
        <v>86</v>
      </c>
      <c r="BB255" s="43">
        <f>IFERROR(__xludf.DUMMYFUNCTION("""COMPUTED_VALUE"""),46276.0)</f>
        <v>46276</v>
      </c>
      <c r="BC255" s="44"/>
      <c r="BD255" s="44"/>
      <c r="BE255" s="44"/>
      <c r="BF255" s="44"/>
    </row>
    <row r="256">
      <c r="A256" s="40">
        <v>46062.0</v>
      </c>
      <c r="B256" s="4" t="s">
        <v>58</v>
      </c>
      <c r="C256" s="4" t="s">
        <v>406</v>
      </c>
      <c r="D256" s="15" t="s">
        <v>38</v>
      </c>
      <c r="E256" s="15">
        <v>0.4166666666666667</v>
      </c>
      <c r="AU256" s="43">
        <v>46277.0</v>
      </c>
      <c r="AX256" s="15" t="s">
        <v>86</v>
      </c>
      <c r="BB256" s="43">
        <f>IFERROR(__xludf.DUMMYFUNCTION("""COMPUTED_VALUE"""),46277.0)</f>
        <v>46277</v>
      </c>
      <c r="BC256" s="44"/>
      <c r="BD256" s="44"/>
      <c r="BE256" s="44"/>
      <c r="BF256" s="44"/>
    </row>
    <row r="257">
      <c r="A257" s="40">
        <v>46062.0</v>
      </c>
      <c r="B257" s="4" t="s">
        <v>1335</v>
      </c>
      <c r="C257" s="4" t="s">
        <v>420</v>
      </c>
      <c r="D257" s="15" t="s">
        <v>314</v>
      </c>
      <c r="E257" s="15">
        <v>0.25</v>
      </c>
      <c r="AU257" s="43">
        <v>46278.0</v>
      </c>
      <c r="AX257" s="15" t="s">
        <v>86</v>
      </c>
      <c r="BB257" s="43">
        <f>IFERROR(__xludf.DUMMYFUNCTION("""COMPUTED_VALUE"""),46278.0)</f>
        <v>46278</v>
      </c>
      <c r="BC257" s="44"/>
      <c r="BD257" s="44"/>
      <c r="BE257" s="44"/>
      <c r="BF257" s="44"/>
    </row>
    <row r="258">
      <c r="A258" s="40">
        <v>46062.0</v>
      </c>
      <c r="B258" s="4" t="s">
        <v>212</v>
      </c>
      <c r="C258" s="4" t="s">
        <v>259</v>
      </c>
      <c r="D258" s="15" t="s">
        <v>53</v>
      </c>
      <c r="E258" s="15">
        <v>1.0</v>
      </c>
      <c r="AU258" s="43">
        <v>46279.0</v>
      </c>
      <c r="AX258" s="15" t="s">
        <v>86</v>
      </c>
      <c r="BB258" s="43">
        <f>IFERROR(__xludf.DUMMYFUNCTION("""COMPUTED_VALUE"""),46279.0)</f>
        <v>46279</v>
      </c>
      <c r="BC258" s="44"/>
      <c r="BD258" s="44"/>
      <c r="BE258" s="44"/>
      <c r="BF258" s="44"/>
    </row>
    <row r="259">
      <c r="A259" s="40">
        <v>46062.0</v>
      </c>
      <c r="B259" s="4" t="s">
        <v>208</v>
      </c>
      <c r="C259" s="4" t="s">
        <v>194</v>
      </c>
      <c r="D259" s="15" t="s">
        <v>53</v>
      </c>
      <c r="E259" s="15">
        <v>0.5</v>
      </c>
      <c r="AU259" s="43">
        <v>46280.0</v>
      </c>
      <c r="AX259" s="15" t="s">
        <v>86</v>
      </c>
      <c r="BB259" s="43">
        <f>IFERROR(__xludf.DUMMYFUNCTION("""COMPUTED_VALUE"""),46280.0)</f>
        <v>46280</v>
      </c>
      <c r="BC259" s="44"/>
      <c r="BD259" s="44"/>
      <c r="BE259" s="44"/>
      <c r="BF259" s="44"/>
    </row>
    <row r="260">
      <c r="A260" s="40">
        <v>46062.0</v>
      </c>
      <c r="B260" s="4" t="s">
        <v>1335</v>
      </c>
      <c r="C260" s="4" t="s">
        <v>194</v>
      </c>
      <c r="D260" s="15" t="s">
        <v>314</v>
      </c>
      <c r="E260" s="15">
        <v>0.5</v>
      </c>
      <c r="AU260" s="43">
        <v>46281.0</v>
      </c>
      <c r="AX260" s="15" t="s">
        <v>86</v>
      </c>
      <c r="BB260" s="43">
        <f>IFERROR(__xludf.DUMMYFUNCTION("""COMPUTED_VALUE"""),46281.0)</f>
        <v>46281</v>
      </c>
      <c r="BC260" s="44"/>
      <c r="BD260" s="44"/>
      <c r="BE260" s="44"/>
      <c r="BF260" s="44"/>
    </row>
    <row r="261">
      <c r="A261" s="40">
        <v>46062.0</v>
      </c>
      <c r="B261" s="4" t="s">
        <v>1305</v>
      </c>
      <c r="C261" s="4" t="s">
        <v>259</v>
      </c>
      <c r="D261" s="15" t="s">
        <v>314</v>
      </c>
      <c r="E261" s="15">
        <v>1.0</v>
      </c>
      <c r="AU261" s="43">
        <v>46282.0</v>
      </c>
      <c r="AX261" s="15" t="s">
        <v>86</v>
      </c>
      <c r="BB261" s="43">
        <f>IFERROR(__xludf.DUMMYFUNCTION("""COMPUTED_VALUE"""),46282.0)</f>
        <v>46282</v>
      </c>
      <c r="BC261" s="44"/>
      <c r="BD261" s="44"/>
      <c r="BE261" s="44"/>
      <c r="BF261" s="44"/>
    </row>
    <row r="262">
      <c r="A262" s="40">
        <v>46062.0</v>
      </c>
      <c r="B262" s="4" t="s">
        <v>58</v>
      </c>
      <c r="C262" s="4" t="s">
        <v>194</v>
      </c>
      <c r="D262" s="15" t="s">
        <v>38</v>
      </c>
      <c r="E262" s="15">
        <v>0.5</v>
      </c>
      <c r="AU262" s="43">
        <v>46283.0</v>
      </c>
      <c r="AX262" s="15" t="s">
        <v>86</v>
      </c>
      <c r="BB262" s="43">
        <f>IFERROR(__xludf.DUMMYFUNCTION("""COMPUTED_VALUE"""),46283.0)</f>
        <v>46283</v>
      </c>
      <c r="BC262" s="44"/>
      <c r="BD262" s="44"/>
      <c r="BE262" s="44"/>
      <c r="BF262" s="44"/>
    </row>
    <row r="263">
      <c r="A263" s="40">
        <v>46062.0</v>
      </c>
      <c r="B263" s="4" t="s">
        <v>1335</v>
      </c>
      <c r="C263" s="4" t="s">
        <v>194</v>
      </c>
      <c r="D263" s="15" t="s">
        <v>314</v>
      </c>
      <c r="E263" s="15">
        <v>0.5</v>
      </c>
      <c r="AU263" s="43">
        <v>46284.0</v>
      </c>
      <c r="AX263" s="15" t="s">
        <v>86</v>
      </c>
      <c r="BB263" s="43">
        <f>IFERROR(__xludf.DUMMYFUNCTION("""COMPUTED_VALUE"""),46284.0)</f>
        <v>46284</v>
      </c>
      <c r="BC263" s="44"/>
      <c r="BD263" s="44"/>
      <c r="BE263" s="44"/>
      <c r="BF263" s="44"/>
    </row>
    <row r="264">
      <c r="A264" s="40">
        <v>46062.0</v>
      </c>
      <c r="B264" s="4" t="s">
        <v>196</v>
      </c>
      <c r="C264" s="4" t="s">
        <v>286</v>
      </c>
      <c r="D264" s="15" t="s">
        <v>93</v>
      </c>
      <c r="E264" s="15">
        <v>0.75</v>
      </c>
      <c r="AU264" s="43">
        <v>46285.0</v>
      </c>
      <c r="AX264" s="15" t="s">
        <v>86</v>
      </c>
      <c r="BB264" s="43">
        <f>IFERROR(__xludf.DUMMYFUNCTION("""COMPUTED_VALUE"""),46285.0)</f>
        <v>46285</v>
      </c>
      <c r="BC264" s="44"/>
      <c r="BD264" s="44"/>
      <c r="BE264" s="44"/>
      <c r="BF264" s="44"/>
    </row>
    <row r="265">
      <c r="A265" s="40">
        <v>46062.0</v>
      </c>
      <c r="B265" s="4" t="s">
        <v>218</v>
      </c>
      <c r="C265" s="4" t="s">
        <v>286</v>
      </c>
      <c r="D265" s="15" t="s">
        <v>53</v>
      </c>
      <c r="E265" s="15">
        <v>0.75</v>
      </c>
      <c r="AU265" s="43">
        <v>46286.0</v>
      </c>
      <c r="AX265" s="15" t="s">
        <v>86</v>
      </c>
      <c r="BB265" s="43">
        <f>IFERROR(__xludf.DUMMYFUNCTION("""COMPUTED_VALUE"""),46286.0)</f>
        <v>46286</v>
      </c>
      <c r="BC265" s="44"/>
      <c r="BD265" s="44"/>
      <c r="BE265" s="44"/>
      <c r="BF265" s="44"/>
    </row>
    <row r="266">
      <c r="A266" s="40">
        <v>46063.0</v>
      </c>
      <c r="B266" s="4" t="s">
        <v>189</v>
      </c>
      <c r="C266" s="4" t="s">
        <v>194</v>
      </c>
      <c r="D266" s="15" t="s">
        <v>93</v>
      </c>
      <c r="E266" s="15">
        <v>0.5</v>
      </c>
      <c r="AU266" s="43">
        <v>46287.0</v>
      </c>
      <c r="AX266" s="15" t="s">
        <v>86</v>
      </c>
      <c r="BB266" s="43">
        <f>IFERROR(__xludf.DUMMYFUNCTION("""COMPUTED_VALUE"""),46287.0)</f>
        <v>46287</v>
      </c>
      <c r="BC266" s="44"/>
      <c r="BD266" s="44"/>
      <c r="BE266" s="44"/>
      <c r="BF266" s="44"/>
    </row>
    <row r="267">
      <c r="A267" s="40">
        <v>46063.0</v>
      </c>
      <c r="B267" s="4" t="s">
        <v>170</v>
      </c>
      <c r="C267" s="4" t="s">
        <v>194</v>
      </c>
      <c r="D267" s="15" t="s">
        <v>93</v>
      </c>
      <c r="E267" s="15">
        <v>0.5</v>
      </c>
      <c r="AU267" s="43">
        <v>46288.0</v>
      </c>
      <c r="AX267" s="15" t="s">
        <v>86</v>
      </c>
      <c r="BB267" s="43">
        <f>IFERROR(__xludf.DUMMYFUNCTION("""COMPUTED_VALUE"""),46288.0)</f>
        <v>46288</v>
      </c>
      <c r="BC267" s="44"/>
      <c r="BD267" s="44"/>
      <c r="BE267" s="44"/>
      <c r="BF267" s="44"/>
    </row>
    <row r="268">
      <c r="A268" s="40">
        <v>46063.0</v>
      </c>
      <c r="B268" s="4" t="s">
        <v>196</v>
      </c>
      <c r="C268" s="4" t="s">
        <v>259</v>
      </c>
      <c r="D268" s="15" t="s">
        <v>93</v>
      </c>
      <c r="E268" s="15">
        <v>1.0</v>
      </c>
      <c r="AU268" s="43">
        <v>46289.0</v>
      </c>
      <c r="AX268" s="15" t="s">
        <v>86</v>
      </c>
      <c r="BB268" s="43">
        <f>IFERROR(__xludf.DUMMYFUNCTION("""COMPUTED_VALUE"""),46289.0)</f>
        <v>46289</v>
      </c>
      <c r="BC268" s="44"/>
      <c r="BD268" s="44"/>
      <c r="BE268" s="44"/>
      <c r="BF268" s="44"/>
    </row>
    <row r="269">
      <c r="A269" s="40">
        <v>46063.0</v>
      </c>
      <c r="B269" s="4" t="s">
        <v>173</v>
      </c>
      <c r="C269" s="4" t="s">
        <v>420</v>
      </c>
      <c r="D269" s="15" t="s">
        <v>93</v>
      </c>
      <c r="E269" s="15">
        <v>0.25</v>
      </c>
      <c r="AU269" s="43">
        <v>46290.0</v>
      </c>
      <c r="AX269" s="15" t="s">
        <v>86</v>
      </c>
      <c r="BB269" s="43">
        <f>IFERROR(__xludf.DUMMYFUNCTION("""COMPUTED_VALUE"""),46290.0)</f>
        <v>46290</v>
      </c>
      <c r="BC269" s="44"/>
      <c r="BD269" s="44"/>
      <c r="BE269" s="44"/>
      <c r="BF269" s="44"/>
    </row>
    <row r="270">
      <c r="A270" s="40">
        <v>46063.0</v>
      </c>
      <c r="B270" s="4" t="s">
        <v>1335</v>
      </c>
      <c r="C270" s="4" t="s">
        <v>194</v>
      </c>
      <c r="D270" s="15" t="s">
        <v>314</v>
      </c>
      <c r="E270" s="15">
        <v>0.5</v>
      </c>
      <c r="AU270" s="43">
        <v>46291.0</v>
      </c>
      <c r="AX270" s="15" t="s">
        <v>86</v>
      </c>
      <c r="BB270" s="43">
        <f>IFERROR(__xludf.DUMMYFUNCTION("""COMPUTED_VALUE"""),46291.0)</f>
        <v>46291</v>
      </c>
      <c r="BC270" s="44"/>
      <c r="BD270" s="44"/>
      <c r="BE270" s="44"/>
      <c r="BF270" s="44"/>
    </row>
    <row r="271">
      <c r="A271" s="40">
        <v>46063.0</v>
      </c>
      <c r="B271" s="4" t="s">
        <v>58</v>
      </c>
      <c r="C271" s="4" t="s">
        <v>406</v>
      </c>
      <c r="D271" s="15" t="s">
        <v>38</v>
      </c>
      <c r="E271" s="15">
        <v>0.4166666666666667</v>
      </c>
      <c r="AU271" s="43">
        <v>46292.0</v>
      </c>
      <c r="AX271" s="15" t="s">
        <v>86</v>
      </c>
      <c r="BB271" s="43">
        <f>IFERROR(__xludf.DUMMYFUNCTION("""COMPUTED_VALUE"""),46292.0)</f>
        <v>46292</v>
      </c>
      <c r="BC271" s="44"/>
      <c r="BD271" s="44"/>
      <c r="BE271" s="44"/>
      <c r="BF271" s="44"/>
    </row>
    <row r="272">
      <c r="A272" s="40">
        <v>46063.0</v>
      </c>
      <c r="B272" s="4" t="s">
        <v>173</v>
      </c>
      <c r="C272" s="4" t="s">
        <v>194</v>
      </c>
      <c r="D272" s="15" t="s">
        <v>93</v>
      </c>
      <c r="E272" s="15">
        <v>0.5</v>
      </c>
      <c r="AU272" s="43">
        <v>46293.0</v>
      </c>
      <c r="AX272" s="15" t="s">
        <v>86</v>
      </c>
      <c r="BB272" s="43">
        <f>IFERROR(__xludf.DUMMYFUNCTION("""COMPUTED_VALUE"""),46293.0)</f>
        <v>46293</v>
      </c>
      <c r="BC272" s="44"/>
      <c r="BD272" s="44"/>
      <c r="BE272" s="44"/>
      <c r="BF272" s="44"/>
    </row>
    <row r="273">
      <c r="A273" s="40">
        <v>46063.0</v>
      </c>
      <c r="B273" s="4" t="s">
        <v>58</v>
      </c>
      <c r="C273" s="4" t="s">
        <v>194</v>
      </c>
      <c r="D273" s="15" t="s">
        <v>38</v>
      </c>
      <c r="E273" s="15">
        <v>0.5</v>
      </c>
      <c r="AU273" s="43">
        <v>46294.0</v>
      </c>
      <c r="AX273" s="15" t="s">
        <v>86</v>
      </c>
      <c r="BB273" s="43">
        <f>IFERROR(__xludf.DUMMYFUNCTION("""COMPUTED_VALUE"""),46294.0)</f>
        <v>46294</v>
      </c>
      <c r="BC273" s="44"/>
      <c r="BD273" s="44"/>
      <c r="BE273" s="44"/>
      <c r="BF273" s="44"/>
    </row>
    <row r="274">
      <c r="A274" s="40">
        <v>46063.0</v>
      </c>
      <c r="B274" s="4" t="s">
        <v>752</v>
      </c>
      <c r="C274" s="4" t="s">
        <v>286</v>
      </c>
      <c r="D274" s="15" t="s">
        <v>93</v>
      </c>
      <c r="E274" s="15">
        <v>0.75</v>
      </c>
      <c r="AU274" s="43">
        <v>46295.0</v>
      </c>
      <c r="AX274" s="15" t="s">
        <v>86</v>
      </c>
      <c r="BB274" s="43">
        <f>IFERROR(__xludf.DUMMYFUNCTION("""COMPUTED_VALUE"""),46295.0)</f>
        <v>46295</v>
      </c>
      <c r="BC274" s="44"/>
      <c r="BD274" s="44"/>
      <c r="BE274" s="44"/>
      <c r="BF274" s="44"/>
    </row>
    <row r="275">
      <c r="A275" s="40">
        <v>46063.0</v>
      </c>
      <c r="B275" s="4" t="s">
        <v>227</v>
      </c>
      <c r="C275" s="4" t="s">
        <v>259</v>
      </c>
      <c r="D275" s="15" t="s">
        <v>53</v>
      </c>
      <c r="E275" s="15">
        <v>1.0</v>
      </c>
      <c r="AU275" s="43">
        <v>46296.0</v>
      </c>
      <c r="AX275" s="15" t="s">
        <v>86</v>
      </c>
      <c r="BB275" s="43">
        <f>IFERROR(__xludf.DUMMYFUNCTION("""COMPUTED_VALUE"""),46296.0)</f>
        <v>46296</v>
      </c>
      <c r="BC275" s="44"/>
      <c r="BD275" s="44"/>
      <c r="BE275" s="44"/>
      <c r="BF275" s="44"/>
    </row>
    <row r="276">
      <c r="A276" s="40">
        <v>46063.0</v>
      </c>
      <c r="B276" s="4" t="s">
        <v>189</v>
      </c>
      <c r="C276" s="4" t="s">
        <v>194</v>
      </c>
      <c r="D276" s="15" t="s">
        <v>93</v>
      </c>
      <c r="E276" s="15">
        <v>0.5</v>
      </c>
      <c r="AU276" s="43">
        <v>46297.0</v>
      </c>
      <c r="AX276" s="15" t="s">
        <v>86</v>
      </c>
      <c r="BB276" s="43">
        <f>IFERROR(__xludf.DUMMYFUNCTION("""COMPUTED_VALUE"""),46297.0)</f>
        <v>46297</v>
      </c>
      <c r="BC276" s="44"/>
      <c r="BD276" s="44"/>
      <c r="BE276" s="44"/>
      <c r="BF276" s="44"/>
    </row>
    <row r="277">
      <c r="A277" s="40">
        <v>46063.0</v>
      </c>
      <c r="B277" s="4" t="s">
        <v>1335</v>
      </c>
      <c r="C277" s="4" t="s">
        <v>259</v>
      </c>
      <c r="D277" s="15" t="s">
        <v>314</v>
      </c>
      <c r="E277" s="15">
        <v>1.0</v>
      </c>
      <c r="AU277" s="43">
        <v>46298.0</v>
      </c>
      <c r="AX277" s="15" t="s">
        <v>86</v>
      </c>
      <c r="BB277" s="43">
        <f>IFERROR(__xludf.DUMMYFUNCTION("""COMPUTED_VALUE"""),46298.0)</f>
        <v>46298</v>
      </c>
      <c r="BC277" s="44"/>
      <c r="BD277" s="44"/>
      <c r="BE277" s="44"/>
      <c r="BF277" s="44"/>
    </row>
    <row r="278">
      <c r="A278" s="40">
        <v>46064.0</v>
      </c>
      <c r="B278" s="4" t="s">
        <v>251</v>
      </c>
      <c r="C278" s="4" t="s">
        <v>194</v>
      </c>
      <c r="D278" s="15" t="s">
        <v>53</v>
      </c>
      <c r="E278" s="15">
        <v>0.5</v>
      </c>
      <c r="AU278" s="43">
        <v>46299.0</v>
      </c>
      <c r="AX278" s="15" t="s">
        <v>86</v>
      </c>
      <c r="BB278" s="43">
        <f>IFERROR(__xludf.DUMMYFUNCTION("""COMPUTED_VALUE"""),46299.0)</f>
        <v>46299</v>
      </c>
      <c r="BC278" s="44"/>
      <c r="BD278" s="44"/>
      <c r="BE278" s="44"/>
      <c r="BF278" s="44"/>
    </row>
    <row r="279">
      <c r="A279" s="40">
        <v>46064.0</v>
      </c>
      <c r="B279" s="4" t="s">
        <v>189</v>
      </c>
      <c r="C279" s="4" t="s">
        <v>194</v>
      </c>
      <c r="D279" s="15" t="s">
        <v>93</v>
      </c>
      <c r="E279" s="15">
        <v>0.5</v>
      </c>
      <c r="AU279" s="43">
        <v>46300.0</v>
      </c>
      <c r="AX279" s="15" t="s">
        <v>86</v>
      </c>
      <c r="BB279" s="43">
        <f>IFERROR(__xludf.DUMMYFUNCTION("""COMPUTED_VALUE"""),46300.0)</f>
        <v>46300</v>
      </c>
      <c r="BC279" s="44"/>
      <c r="BD279" s="44"/>
      <c r="BE279" s="44"/>
      <c r="BF279" s="44"/>
    </row>
    <row r="280">
      <c r="A280" s="40">
        <v>46064.0</v>
      </c>
      <c r="B280" s="4" t="s">
        <v>173</v>
      </c>
      <c r="C280" s="4" t="s">
        <v>194</v>
      </c>
      <c r="D280" s="15" t="s">
        <v>93</v>
      </c>
      <c r="E280" s="15">
        <v>0.5</v>
      </c>
      <c r="AU280" s="43">
        <v>46301.0</v>
      </c>
      <c r="AX280" s="15" t="s">
        <v>86</v>
      </c>
      <c r="BB280" s="43">
        <f>IFERROR(__xludf.DUMMYFUNCTION("""COMPUTED_VALUE"""),46301.0)</f>
        <v>46301</v>
      </c>
      <c r="BC280" s="44"/>
      <c r="BD280" s="44"/>
      <c r="BE280" s="44"/>
      <c r="BF280" s="44"/>
    </row>
    <row r="281">
      <c r="A281" s="40">
        <v>46064.0</v>
      </c>
      <c r="B281" s="4" t="s">
        <v>196</v>
      </c>
      <c r="C281" s="4" t="s">
        <v>259</v>
      </c>
      <c r="D281" s="15" t="s">
        <v>93</v>
      </c>
      <c r="E281" s="15">
        <v>1.0</v>
      </c>
      <c r="AU281" s="43">
        <v>46302.0</v>
      </c>
      <c r="AX281" s="15" t="s">
        <v>86</v>
      </c>
      <c r="BB281" s="43">
        <f>IFERROR(__xludf.DUMMYFUNCTION("""COMPUTED_VALUE"""),46302.0)</f>
        <v>46302</v>
      </c>
      <c r="BC281" s="44"/>
      <c r="BD281" s="44"/>
      <c r="BE281" s="44"/>
      <c r="BF281" s="44"/>
    </row>
    <row r="282">
      <c r="A282" s="40">
        <v>46064.0</v>
      </c>
      <c r="B282" s="4" t="s">
        <v>196</v>
      </c>
      <c r="C282" s="4" t="s">
        <v>194</v>
      </c>
      <c r="D282" s="15" t="s">
        <v>93</v>
      </c>
      <c r="E282" s="15">
        <v>0.5</v>
      </c>
      <c r="AU282" s="43">
        <v>46303.0</v>
      </c>
      <c r="AX282" s="15" t="s">
        <v>86</v>
      </c>
      <c r="BB282" s="43">
        <f>IFERROR(__xludf.DUMMYFUNCTION("""COMPUTED_VALUE"""),46303.0)</f>
        <v>46303</v>
      </c>
      <c r="BC282" s="44"/>
      <c r="BD282" s="44"/>
      <c r="BE282" s="44"/>
      <c r="BF282" s="44"/>
    </row>
    <row r="283">
      <c r="A283" s="40">
        <v>46064.0</v>
      </c>
      <c r="B283" s="4" t="s">
        <v>1335</v>
      </c>
      <c r="C283" s="4" t="s">
        <v>194</v>
      </c>
      <c r="D283" s="15" t="s">
        <v>314</v>
      </c>
      <c r="E283" s="15">
        <v>0.5</v>
      </c>
      <c r="AU283" s="43">
        <v>46304.0</v>
      </c>
      <c r="AX283" s="15" t="s">
        <v>86</v>
      </c>
      <c r="BB283" s="43">
        <f>IFERROR(__xludf.DUMMYFUNCTION("""COMPUTED_VALUE"""),46304.0)</f>
        <v>46304</v>
      </c>
      <c r="BC283" s="44"/>
      <c r="BD283" s="44"/>
      <c r="BE283" s="44"/>
      <c r="BF283" s="44"/>
    </row>
    <row r="284">
      <c r="A284" s="40">
        <v>46064.0</v>
      </c>
      <c r="B284" s="4" t="s">
        <v>1536</v>
      </c>
      <c r="C284" s="4" t="s">
        <v>259</v>
      </c>
      <c r="D284" s="15" t="s">
        <v>38</v>
      </c>
      <c r="E284" s="15">
        <v>1.0</v>
      </c>
      <c r="AU284" s="43">
        <v>46305.0</v>
      </c>
      <c r="AX284" s="15" t="s">
        <v>86</v>
      </c>
      <c r="BB284" s="43">
        <f>IFERROR(__xludf.DUMMYFUNCTION("""COMPUTED_VALUE"""),46305.0)</f>
        <v>46305</v>
      </c>
      <c r="BC284" s="44"/>
      <c r="BD284" s="44"/>
      <c r="BE284" s="44"/>
      <c r="BF284" s="44"/>
    </row>
    <row r="285">
      <c r="A285" s="40">
        <v>46064.0</v>
      </c>
      <c r="B285" s="4" t="s">
        <v>58</v>
      </c>
      <c r="C285" s="4" t="s">
        <v>194</v>
      </c>
      <c r="D285" s="15" t="s">
        <v>38</v>
      </c>
      <c r="E285" s="15">
        <v>0.5</v>
      </c>
      <c r="AU285" s="43">
        <v>46306.0</v>
      </c>
      <c r="AX285" s="15" t="s">
        <v>86</v>
      </c>
      <c r="BB285" s="43">
        <f>IFERROR(__xludf.DUMMYFUNCTION("""COMPUTED_VALUE"""),46306.0)</f>
        <v>46306</v>
      </c>
      <c r="BC285" s="44"/>
      <c r="BD285" s="44"/>
      <c r="BE285" s="44"/>
      <c r="BF285" s="44"/>
    </row>
    <row r="286">
      <c r="A286" s="40">
        <v>46064.0</v>
      </c>
      <c r="B286" s="4" t="s">
        <v>522</v>
      </c>
      <c r="C286" s="4" t="s">
        <v>194</v>
      </c>
      <c r="D286" s="15" t="s">
        <v>53</v>
      </c>
      <c r="E286" s="15">
        <v>0.5</v>
      </c>
      <c r="AU286" s="43">
        <v>46307.0</v>
      </c>
      <c r="AX286" s="15" t="s">
        <v>86</v>
      </c>
      <c r="BB286" s="43">
        <f>IFERROR(__xludf.DUMMYFUNCTION("""COMPUTED_VALUE"""),46307.0)</f>
        <v>46307</v>
      </c>
      <c r="BC286" s="44"/>
      <c r="BD286" s="44"/>
      <c r="BE286" s="44"/>
      <c r="BF286" s="44"/>
    </row>
    <row r="287">
      <c r="A287" s="40">
        <v>46064.0</v>
      </c>
      <c r="B287" s="4" t="s">
        <v>230</v>
      </c>
      <c r="C287" s="4" t="s">
        <v>194</v>
      </c>
      <c r="D287" s="15" t="s">
        <v>53</v>
      </c>
      <c r="E287" s="15">
        <v>0.5</v>
      </c>
      <c r="AU287" s="43">
        <v>46308.0</v>
      </c>
      <c r="AX287" s="15" t="s">
        <v>86</v>
      </c>
      <c r="BB287" s="43">
        <f>IFERROR(__xludf.DUMMYFUNCTION("""COMPUTED_VALUE"""),46308.0)</f>
        <v>46308</v>
      </c>
      <c r="BC287" s="44"/>
      <c r="BD287" s="44"/>
      <c r="BE287" s="44"/>
      <c r="BF287" s="44"/>
    </row>
    <row r="288">
      <c r="A288" s="40">
        <v>46064.0</v>
      </c>
      <c r="B288" s="4" t="s">
        <v>58</v>
      </c>
      <c r="C288" s="4" t="s">
        <v>406</v>
      </c>
      <c r="D288" s="15" t="s">
        <v>38</v>
      </c>
      <c r="E288" s="15">
        <v>0.4166666666666667</v>
      </c>
      <c r="AU288" s="43">
        <v>46309.0</v>
      </c>
      <c r="AX288" s="15" t="s">
        <v>86</v>
      </c>
      <c r="BB288" s="43">
        <f>IFERROR(__xludf.DUMMYFUNCTION("""COMPUTED_VALUE"""),46309.0)</f>
        <v>46309</v>
      </c>
      <c r="BC288" s="44"/>
      <c r="BD288" s="44"/>
      <c r="BE288" s="44"/>
      <c r="BF288" s="44"/>
    </row>
    <row r="289">
      <c r="A289" s="40">
        <v>46064.0</v>
      </c>
      <c r="B289" s="4" t="s">
        <v>1536</v>
      </c>
      <c r="C289" s="4" t="s">
        <v>194</v>
      </c>
      <c r="D289" s="15" t="s">
        <v>38</v>
      </c>
      <c r="E289" s="15">
        <v>0.5</v>
      </c>
      <c r="AU289" s="43">
        <v>46310.0</v>
      </c>
      <c r="AX289" s="15" t="s">
        <v>86</v>
      </c>
      <c r="BB289" s="43">
        <f>IFERROR(__xludf.DUMMYFUNCTION("""COMPUTED_VALUE"""),46310.0)</f>
        <v>46310</v>
      </c>
      <c r="BC289" s="44"/>
      <c r="BD289" s="44"/>
      <c r="BE289" s="44"/>
      <c r="BF289" s="44"/>
    </row>
    <row r="290">
      <c r="A290" s="40">
        <v>46064.0</v>
      </c>
      <c r="B290" s="4" t="s">
        <v>58</v>
      </c>
      <c r="C290" s="4" t="s">
        <v>406</v>
      </c>
      <c r="D290" s="15" t="s">
        <v>38</v>
      </c>
      <c r="E290" s="15">
        <v>0.4166666666666667</v>
      </c>
      <c r="AU290" s="43">
        <v>46311.0</v>
      </c>
      <c r="AX290" s="15" t="s">
        <v>86</v>
      </c>
      <c r="BB290" s="43">
        <f>IFERROR(__xludf.DUMMYFUNCTION("""COMPUTED_VALUE"""),46311.0)</f>
        <v>46311</v>
      </c>
      <c r="BC290" s="44"/>
      <c r="BD290" s="44"/>
      <c r="BE290" s="44"/>
      <c r="BF290" s="44"/>
    </row>
    <row r="291">
      <c r="A291" s="40">
        <v>46064.0</v>
      </c>
      <c r="B291" s="4" t="s">
        <v>522</v>
      </c>
      <c r="C291" s="4" t="s">
        <v>1669</v>
      </c>
      <c r="D291" s="15" t="s">
        <v>53</v>
      </c>
      <c r="E291" s="15">
        <v>1.25</v>
      </c>
      <c r="AU291" s="43">
        <v>46312.0</v>
      </c>
      <c r="AX291" s="15" t="s">
        <v>86</v>
      </c>
      <c r="BB291" s="43">
        <f>IFERROR(__xludf.DUMMYFUNCTION("""COMPUTED_VALUE"""),46312.0)</f>
        <v>46312</v>
      </c>
      <c r="BC291" s="44"/>
      <c r="BD291" s="44"/>
      <c r="BE291" s="44"/>
      <c r="BF291" s="44"/>
    </row>
    <row r="292">
      <c r="A292" s="40">
        <v>46064.0</v>
      </c>
      <c r="B292" s="4" t="s">
        <v>189</v>
      </c>
      <c r="C292" s="4" t="s">
        <v>194</v>
      </c>
      <c r="D292" s="15" t="s">
        <v>93</v>
      </c>
      <c r="E292" s="15">
        <v>0.5</v>
      </c>
      <c r="AU292" s="43">
        <v>46313.0</v>
      </c>
      <c r="AX292" s="15" t="s">
        <v>86</v>
      </c>
      <c r="BB292" s="43">
        <f>IFERROR(__xludf.DUMMYFUNCTION("""COMPUTED_VALUE"""),46313.0)</f>
        <v>46313</v>
      </c>
      <c r="BC292" s="44"/>
      <c r="BD292" s="44"/>
      <c r="BE292" s="44"/>
      <c r="BF292" s="44"/>
    </row>
    <row r="293">
      <c r="A293" s="40">
        <v>46065.0</v>
      </c>
      <c r="B293" s="4" t="s">
        <v>170</v>
      </c>
      <c r="C293" s="4" t="s">
        <v>259</v>
      </c>
      <c r="D293" s="15" t="s">
        <v>93</v>
      </c>
      <c r="E293" s="15">
        <v>1.0</v>
      </c>
      <c r="AU293" s="43">
        <v>46314.0</v>
      </c>
      <c r="AX293" s="15" t="s">
        <v>86</v>
      </c>
      <c r="BB293" s="43">
        <f>IFERROR(__xludf.DUMMYFUNCTION("""COMPUTED_VALUE"""),46314.0)</f>
        <v>46314</v>
      </c>
      <c r="BC293" s="44"/>
      <c r="BD293" s="44"/>
      <c r="BE293" s="44"/>
      <c r="BF293" s="44"/>
    </row>
    <row r="294">
      <c r="A294" s="40">
        <v>46065.0</v>
      </c>
      <c r="B294" s="4" t="s">
        <v>196</v>
      </c>
      <c r="C294" s="4" t="s">
        <v>259</v>
      </c>
      <c r="D294" s="15" t="s">
        <v>93</v>
      </c>
      <c r="E294" s="15">
        <v>1.0</v>
      </c>
      <c r="AU294" s="43">
        <v>46315.0</v>
      </c>
      <c r="AX294" s="15" t="s">
        <v>86</v>
      </c>
      <c r="BB294" s="43">
        <f>IFERROR(__xludf.DUMMYFUNCTION("""COMPUTED_VALUE"""),46315.0)</f>
        <v>46315</v>
      </c>
      <c r="BC294" s="44"/>
      <c r="BD294" s="44"/>
      <c r="BE294" s="44"/>
      <c r="BF294" s="44"/>
    </row>
    <row r="295">
      <c r="A295" s="40">
        <v>46065.0</v>
      </c>
      <c r="B295" s="4" t="s">
        <v>173</v>
      </c>
      <c r="C295" s="4" t="s">
        <v>420</v>
      </c>
      <c r="D295" s="15" t="s">
        <v>93</v>
      </c>
      <c r="E295" s="15">
        <v>0.25</v>
      </c>
      <c r="AU295" s="43">
        <v>46316.0</v>
      </c>
      <c r="AX295" s="15" t="s">
        <v>86</v>
      </c>
      <c r="BB295" s="43">
        <f>IFERROR(__xludf.DUMMYFUNCTION("""COMPUTED_VALUE"""),46316.0)</f>
        <v>46316</v>
      </c>
      <c r="BC295" s="44"/>
      <c r="BD295" s="44"/>
      <c r="BE295" s="44"/>
      <c r="BF295" s="44"/>
    </row>
    <row r="296">
      <c r="A296" s="40">
        <v>46065.0</v>
      </c>
      <c r="B296" s="4" t="s">
        <v>173</v>
      </c>
      <c r="C296" s="4" t="s">
        <v>194</v>
      </c>
      <c r="D296" s="15" t="s">
        <v>93</v>
      </c>
      <c r="E296" s="15">
        <v>0.5</v>
      </c>
      <c r="AU296" s="43">
        <v>46317.0</v>
      </c>
      <c r="AX296" s="15" t="s">
        <v>86</v>
      </c>
      <c r="BB296" s="43">
        <f>IFERROR(__xludf.DUMMYFUNCTION("""COMPUTED_VALUE"""),46317.0)</f>
        <v>46317</v>
      </c>
      <c r="BC296" s="44"/>
      <c r="BD296" s="44"/>
      <c r="BE296" s="44"/>
      <c r="BF296" s="44"/>
    </row>
    <row r="297">
      <c r="A297" s="40">
        <v>46065.0</v>
      </c>
      <c r="B297" s="4" t="s">
        <v>192</v>
      </c>
      <c r="C297" s="4" t="s">
        <v>194</v>
      </c>
      <c r="D297" s="15" t="s">
        <v>93</v>
      </c>
      <c r="E297" s="15">
        <v>0.5</v>
      </c>
      <c r="AU297" s="43">
        <v>46318.0</v>
      </c>
      <c r="AX297" s="15" t="s">
        <v>86</v>
      </c>
      <c r="BB297" s="43">
        <f>IFERROR(__xludf.DUMMYFUNCTION("""COMPUTED_VALUE"""),46318.0)</f>
        <v>46318</v>
      </c>
      <c r="BC297" s="44"/>
      <c r="BD297" s="44"/>
      <c r="BE297" s="44"/>
      <c r="BF297" s="44"/>
    </row>
    <row r="298">
      <c r="A298" s="40">
        <v>46065.0</v>
      </c>
      <c r="B298" s="4" t="s">
        <v>1305</v>
      </c>
      <c r="C298" s="4" t="s">
        <v>194</v>
      </c>
      <c r="D298" s="15" t="s">
        <v>314</v>
      </c>
      <c r="E298" s="15">
        <v>0.5</v>
      </c>
      <c r="AU298" s="43">
        <v>46319.0</v>
      </c>
      <c r="AX298" s="15" t="s">
        <v>86</v>
      </c>
      <c r="BB298" s="43">
        <f>IFERROR(__xludf.DUMMYFUNCTION("""COMPUTED_VALUE"""),46319.0)</f>
        <v>46319</v>
      </c>
      <c r="BC298" s="44"/>
      <c r="BD298" s="44"/>
      <c r="BE298" s="44"/>
      <c r="BF298" s="44"/>
    </row>
    <row r="299">
      <c r="A299" s="40">
        <v>46065.0</v>
      </c>
      <c r="B299" s="4" t="s">
        <v>1335</v>
      </c>
      <c r="C299" s="4" t="s">
        <v>194</v>
      </c>
      <c r="D299" s="15" t="s">
        <v>314</v>
      </c>
      <c r="E299" s="15">
        <v>0.5</v>
      </c>
      <c r="AU299" s="43">
        <v>46320.0</v>
      </c>
      <c r="AX299" s="15" t="s">
        <v>86</v>
      </c>
      <c r="BB299" s="43">
        <f>IFERROR(__xludf.DUMMYFUNCTION("""COMPUTED_VALUE"""),46320.0)</f>
        <v>46320</v>
      </c>
      <c r="BC299" s="44"/>
      <c r="BD299" s="44"/>
      <c r="BE299" s="44"/>
      <c r="BF299" s="44"/>
    </row>
    <row r="300">
      <c r="A300" s="40">
        <v>46065.0</v>
      </c>
      <c r="B300" s="4" t="s">
        <v>1335</v>
      </c>
      <c r="C300" s="4" t="s">
        <v>194</v>
      </c>
      <c r="D300" s="15" t="s">
        <v>314</v>
      </c>
      <c r="E300" s="15">
        <v>0.5</v>
      </c>
      <c r="AU300" s="43">
        <v>46321.0</v>
      </c>
      <c r="AX300" s="15" t="s">
        <v>86</v>
      </c>
      <c r="BB300" s="43">
        <f>IFERROR(__xludf.DUMMYFUNCTION("""COMPUTED_VALUE"""),46321.0)</f>
        <v>46321</v>
      </c>
      <c r="BC300" s="44"/>
      <c r="BD300" s="44"/>
      <c r="BE300" s="44"/>
      <c r="BF300" s="44"/>
    </row>
    <row r="301">
      <c r="A301" s="40">
        <v>46065.0</v>
      </c>
      <c r="B301" s="4" t="s">
        <v>522</v>
      </c>
      <c r="C301" s="4" t="s">
        <v>194</v>
      </c>
      <c r="D301" s="15" t="s">
        <v>53</v>
      </c>
      <c r="E301" s="15">
        <v>0.5</v>
      </c>
      <c r="AU301" s="43">
        <v>46322.0</v>
      </c>
      <c r="AX301" s="15" t="s">
        <v>86</v>
      </c>
      <c r="BB301" s="43">
        <f>IFERROR(__xludf.DUMMYFUNCTION("""COMPUTED_VALUE"""),46322.0)</f>
        <v>46322</v>
      </c>
      <c r="BC301" s="44"/>
      <c r="BD301" s="44"/>
      <c r="BE301" s="44"/>
      <c r="BF301" s="44"/>
    </row>
    <row r="302">
      <c r="A302" s="40">
        <v>46065.0</v>
      </c>
      <c r="B302" s="4" t="s">
        <v>233</v>
      </c>
      <c r="C302" s="4" t="s">
        <v>194</v>
      </c>
      <c r="D302" s="15" t="s">
        <v>53</v>
      </c>
      <c r="E302" s="15">
        <v>0.5</v>
      </c>
      <c r="AU302" s="43">
        <v>46323.0</v>
      </c>
      <c r="AX302" s="15" t="s">
        <v>86</v>
      </c>
      <c r="BB302" s="43">
        <f>IFERROR(__xludf.DUMMYFUNCTION("""COMPUTED_VALUE"""),46323.0)</f>
        <v>46323</v>
      </c>
      <c r="BC302" s="44"/>
      <c r="BD302" s="44"/>
      <c r="BE302" s="44"/>
      <c r="BF302" s="44"/>
    </row>
    <row r="303">
      <c r="A303" s="40">
        <v>46065.0</v>
      </c>
      <c r="B303" s="4" t="s">
        <v>522</v>
      </c>
      <c r="C303" s="4" t="s">
        <v>194</v>
      </c>
      <c r="D303" s="15" t="s">
        <v>53</v>
      </c>
      <c r="E303" s="15">
        <v>0.5</v>
      </c>
      <c r="AU303" s="43">
        <v>46324.0</v>
      </c>
      <c r="AX303" s="15" t="s">
        <v>86</v>
      </c>
      <c r="BB303" s="43">
        <f>IFERROR(__xludf.DUMMYFUNCTION("""COMPUTED_VALUE"""),46324.0)</f>
        <v>46324</v>
      </c>
      <c r="BC303" s="44"/>
      <c r="BD303" s="44"/>
      <c r="BE303" s="44"/>
      <c r="BF303" s="44"/>
    </row>
    <row r="304">
      <c r="A304" s="40">
        <v>46065.0</v>
      </c>
      <c r="B304" s="4" t="s">
        <v>752</v>
      </c>
      <c r="C304" s="4" t="s">
        <v>194</v>
      </c>
      <c r="D304" s="15" t="s">
        <v>93</v>
      </c>
      <c r="E304" s="15">
        <v>0.5</v>
      </c>
      <c r="AU304" s="43">
        <v>46325.0</v>
      </c>
      <c r="AX304" s="15" t="s">
        <v>86</v>
      </c>
      <c r="BB304" s="43">
        <f>IFERROR(__xludf.DUMMYFUNCTION("""COMPUTED_VALUE"""),46325.0)</f>
        <v>46325</v>
      </c>
      <c r="BC304" s="44"/>
      <c r="BD304" s="44"/>
      <c r="BE304" s="44"/>
      <c r="BF304" s="44"/>
    </row>
    <row r="305">
      <c r="A305" s="40">
        <v>46065.0</v>
      </c>
      <c r="B305" s="4" t="s">
        <v>170</v>
      </c>
      <c r="C305" s="4" t="s">
        <v>194</v>
      </c>
      <c r="D305" s="15" t="s">
        <v>93</v>
      </c>
      <c r="E305" s="15">
        <v>0.5</v>
      </c>
      <c r="AU305" s="43">
        <v>46326.0</v>
      </c>
      <c r="AX305" s="15" t="s">
        <v>86</v>
      </c>
      <c r="BB305" s="43">
        <f>IFERROR(__xludf.DUMMYFUNCTION("""COMPUTED_VALUE"""),46326.0)</f>
        <v>46326</v>
      </c>
      <c r="BC305" s="44"/>
      <c r="BD305" s="44"/>
      <c r="BE305" s="44"/>
      <c r="BF305" s="44"/>
    </row>
    <row r="306">
      <c r="A306" s="40">
        <v>46065.0</v>
      </c>
      <c r="B306" s="4" t="s">
        <v>1536</v>
      </c>
      <c r="C306" s="4" t="s">
        <v>259</v>
      </c>
      <c r="D306" s="15" t="s">
        <v>38</v>
      </c>
      <c r="E306" s="15">
        <v>1.0</v>
      </c>
      <c r="AU306" s="43">
        <v>46327.0</v>
      </c>
      <c r="AX306" s="15" t="s">
        <v>86</v>
      </c>
      <c r="BB306" s="43">
        <f>IFERROR(__xludf.DUMMYFUNCTION("""COMPUTED_VALUE"""),46327.0)</f>
        <v>46327</v>
      </c>
      <c r="BC306" s="44"/>
      <c r="BD306" s="44"/>
      <c r="BE306" s="44"/>
      <c r="BF306" s="44"/>
    </row>
    <row r="307">
      <c r="A307" s="40">
        <v>46066.0</v>
      </c>
      <c r="B307" s="4" t="s">
        <v>251</v>
      </c>
      <c r="C307" s="4" t="s">
        <v>259</v>
      </c>
      <c r="D307" s="15" t="s">
        <v>53</v>
      </c>
      <c r="E307" s="15">
        <v>1.0</v>
      </c>
      <c r="AU307" s="43">
        <v>46328.0</v>
      </c>
      <c r="AX307" s="15" t="s">
        <v>86</v>
      </c>
      <c r="BB307" s="43">
        <f>IFERROR(__xludf.DUMMYFUNCTION("""COMPUTED_VALUE"""),46328.0)</f>
        <v>46328</v>
      </c>
      <c r="BC307" s="44"/>
      <c r="BD307" s="44"/>
      <c r="BE307" s="44"/>
      <c r="BF307" s="44"/>
    </row>
    <row r="308">
      <c r="A308" s="40">
        <v>46066.0</v>
      </c>
      <c r="B308" s="4" t="s">
        <v>189</v>
      </c>
      <c r="C308" s="4" t="s">
        <v>194</v>
      </c>
      <c r="D308" s="15" t="s">
        <v>93</v>
      </c>
      <c r="E308" s="15">
        <v>0.5</v>
      </c>
      <c r="AU308" s="43">
        <v>46329.0</v>
      </c>
      <c r="AX308" s="15" t="s">
        <v>86</v>
      </c>
      <c r="BB308" s="43">
        <f>IFERROR(__xludf.DUMMYFUNCTION("""COMPUTED_VALUE"""),46329.0)</f>
        <v>46329</v>
      </c>
      <c r="BC308" s="44"/>
      <c r="BD308" s="44"/>
      <c r="BE308" s="44"/>
      <c r="BF308" s="44"/>
    </row>
    <row r="309">
      <c r="A309" s="40">
        <v>46066.0</v>
      </c>
      <c r="B309" s="4" t="s">
        <v>173</v>
      </c>
      <c r="C309" s="4" t="s">
        <v>194</v>
      </c>
      <c r="D309" s="15" t="s">
        <v>93</v>
      </c>
      <c r="E309" s="15">
        <v>0.5</v>
      </c>
      <c r="AU309" s="43">
        <v>46330.0</v>
      </c>
      <c r="AX309" s="15" t="s">
        <v>86</v>
      </c>
      <c r="BB309" s="43">
        <f>IFERROR(__xludf.DUMMYFUNCTION("""COMPUTED_VALUE"""),46330.0)</f>
        <v>46330</v>
      </c>
      <c r="BC309" s="44"/>
      <c r="BD309" s="44"/>
      <c r="BE309" s="44"/>
      <c r="BF309" s="44"/>
    </row>
    <row r="310">
      <c r="A310" s="40">
        <v>46066.0</v>
      </c>
      <c r="B310" s="4" t="s">
        <v>196</v>
      </c>
      <c r="C310" s="4" t="s">
        <v>259</v>
      </c>
      <c r="D310" s="15" t="s">
        <v>93</v>
      </c>
      <c r="E310" s="15">
        <v>1.0</v>
      </c>
      <c r="AU310" s="43">
        <v>46331.0</v>
      </c>
      <c r="AX310" s="15" t="s">
        <v>86</v>
      </c>
      <c r="BB310" s="43">
        <f>IFERROR(__xludf.DUMMYFUNCTION("""COMPUTED_VALUE"""),46331.0)</f>
        <v>46331</v>
      </c>
      <c r="BC310" s="44"/>
      <c r="BD310" s="44"/>
      <c r="BE310" s="44"/>
      <c r="BF310" s="44"/>
    </row>
    <row r="311">
      <c r="A311" s="40">
        <v>46066.0</v>
      </c>
      <c r="B311" s="4" t="s">
        <v>173</v>
      </c>
      <c r="C311" s="4" t="s">
        <v>420</v>
      </c>
      <c r="D311" s="15" t="s">
        <v>93</v>
      </c>
      <c r="E311" s="15">
        <v>0.25</v>
      </c>
      <c r="AU311" s="43">
        <v>46332.0</v>
      </c>
      <c r="AX311" s="15" t="s">
        <v>86</v>
      </c>
      <c r="BB311" s="43">
        <f>IFERROR(__xludf.DUMMYFUNCTION("""COMPUTED_VALUE"""),46332.0)</f>
        <v>46332</v>
      </c>
      <c r="BC311" s="44"/>
      <c r="BD311" s="44"/>
      <c r="BE311" s="44"/>
      <c r="BF311" s="44"/>
    </row>
    <row r="312">
      <c r="A312" s="40">
        <v>46066.0</v>
      </c>
      <c r="B312" s="4" t="s">
        <v>346</v>
      </c>
      <c r="C312" s="4" t="s">
        <v>259</v>
      </c>
      <c r="D312" s="15" t="s">
        <v>53</v>
      </c>
      <c r="E312" s="15">
        <v>1.0</v>
      </c>
      <c r="AU312" s="43">
        <v>46333.0</v>
      </c>
      <c r="AX312" s="15" t="s">
        <v>86</v>
      </c>
      <c r="BB312" s="43">
        <f>IFERROR(__xludf.DUMMYFUNCTION("""COMPUTED_VALUE"""),46333.0)</f>
        <v>46333</v>
      </c>
      <c r="BC312" s="44"/>
      <c r="BD312" s="44"/>
      <c r="BE312" s="44"/>
      <c r="BF312" s="44"/>
    </row>
    <row r="313">
      <c r="A313" s="40">
        <v>46066.0</v>
      </c>
      <c r="B313" s="4" t="s">
        <v>1536</v>
      </c>
      <c r="C313" s="4" t="s">
        <v>194</v>
      </c>
      <c r="D313" s="15" t="s">
        <v>38</v>
      </c>
      <c r="E313" s="15">
        <v>0.5</v>
      </c>
      <c r="AU313" s="43">
        <v>46334.0</v>
      </c>
      <c r="AX313" s="15" t="s">
        <v>86</v>
      </c>
      <c r="BB313" s="43">
        <f>IFERROR(__xludf.DUMMYFUNCTION("""COMPUTED_VALUE"""),46334.0)</f>
        <v>46334</v>
      </c>
      <c r="BC313" s="44"/>
      <c r="BD313" s="44"/>
      <c r="BE313" s="44"/>
      <c r="BF313" s="44"/>
    </row>
    <row r="314">
      <c r="A314" s="40">
        <v>46066.0</v>
      </c>
      <c r="B314" s="4" t="s">
        <v>1335</v>
      </c>
      <c r="C314" s="4" t="s">
        <v>259</v>
      </c>
      <c r="D314" s="15" t="s">
        <v>314</v>
      </c>
      <c r="E314" s="15">
        <v>1.0</v>
      </c>
      <c r="AU314" s="43">
        <v>46335.0</v>
      </c>
      <c r="AX314" s="15" t="s">
        <v>86</v>
      </c>
      <c r="BB314" s="43">
        <f>IFERROR(__xludf.DUMMYFUNCTION("""COMPUTED_VALUE"""),46335.0)</f>
        <v>46335</v>
      </c>
      <c r="BC314" s="44"/>
      <c r="BD314" s="44"/>
      <c r="BE314" s="44"/>
      <c r="BF314" s="44"/>
    </row>
    <row r="315">
      <c r="A315" s="40">
        <v>46066.0</v>
      </c>
      <c r="B315" s="4" t="s">
        <v>48</v>
      </c>
      <c r="C315" s="4" t="s">
        <v>194</v>
      </c>
      <c r="D315" s="15" t="s">
        <v>38</v>
      </c>
      <c r="E315" s="15">
        <v>0.5</v>
      </c>
      <c r="AU315" s="43">
        <v>46336.0</v>
      </c>
      <c r="AX315" s="15" t="s">
        <v>86</v>
      </c>
      <c r="BB315" s="43">
        <f>IFERROR(__xludf.DUMMYFUNCTION("""COMPUTED_VALUE"""),46336.0)</f>
        <v>46336</v>
      </c>
      <c r="BC315" s="44"/>
      <c r="BD315" s="44"/>
      <c r="BE315" s="44"/>
      <c r="BF315" s="44"/>
    </row>
    <row r="316">
      <c r="A316" s="40">
        <v>46066.0</v>
      </c>
      <c r="B316" s="4" t="s">
        <v>522</v>
      </c>
      <c r="C316" s="4" t="s">
        <v>194</v>
      </c>
      <c r="D316" s="15" t="s">
        <v>53</v>
      </c>
      <c r="E316" s="15">
        <v>0.5</v>
      </c>
      <c r="AU316" s="43">
        <v>46337.0</v>
      </c>
      <c r="AX316" s="15" t="s">
        <v>86</v>
      </c>
      <c r="BB316" s="43">
        <f>IFERROR(__xludf.DUMMYFUNCTION("""COMPUTED_VALUE"""),46337.0)</f>
        <v>46337</v>
      </c>
      <c r="BC316" s="44"/>
      <c r="BD316" s="44"/>
      <c r="BE316" s="44"/>
      <c r="BF316" s="44"/>
    </row>
    <row r="317">
      <c r="A317" s="40">
        <v>46066.0</v>
      </c>
      <c r="B317" s="4" t="s">
        <v>1335</v>
      </c>
      <c r="C317" s="4" t="s">
        <v>194</v>
      </c>
      <c r="D317" s="15" t="s">
        <v>314</v>
      </c>
      <c r="E317" s="15">
        <v>0.5</v>
      </c>
      <c r="AU317" s="43">
        <v>46338.0</v>
      </c>
      <c r="AX317" s="15" t="s">
        <v>86</v>
      </c>
      <c r="BB317" s="43">
        <f>IFERROR(__xludf.DUMMYFUNCTION("""COMPUTED_VALUE"""),46338.0)</f>
        <v>46338</v>
      </c>
      <c r="BC317" s="44"/>
      <c r="BD317" s="44"/>
      <c r="BE317" s="44"/>
      <c r="BF317" s="44"/>
    </row>
    <row r="318">
      <c r="A318" s="40">
        <v>46066.0</v>
      </c>
      <c r="B318" s="4" t="s">
        <v>58</v>
      </c>
      <c r="C318" s="4" t="s">
        <v>259</v>
      </c>
      <c r="D318" s="15" t="s">
        <v>38</v>
      </c>
      <c r="E318" s="15">
        <v>1.0</v>
      </c>
      <c r="AU318" s="43">
        <v>46339.0</v>
      </c>
      <c r="AX318" s="15" t="s">
        <v>86</v>
      </c>
      <c r="BB318" s="43">
        <f>IFERROR(__xludf.DUMMYFUNCTION("""COMPUTED_VALUE"""),46339.0)</f>
        <v>46339</v>
      </c>
      <c r="BC318" s="44"/>
      <c r="BD318" s="44"/>
      <c r="BE318" s="44"/>
      <c r="BF318" s="44"/>
    </row>
    <row r="319">
      <c r="A319" s="40">
        <v>46066.0</v>
      </c>
      <c r="B319" s="4" t="s">
        <v>196</v>
      </c>
      <c r="C319" s="4" t="s">
        <v>194</v>
      </c>
      <c r="D319" s="15" t="s">
        <v>93</v>
      </c>
      <c r="E319" s="15">
        <v>0.5</v>
      </c>
      <c r="AU319" s="43">
        <v>46340.0</v>
      </c>
      <c r="AX319" s="15" t="s">
        <v>86</v>
      </c>
      <c r="BB319" s="43">
        <f>IFERROR(__xludf.DUMMYFUNCTION("""COMPUTED_VALUE"""),46340.0)</f>
        <v>46340</v>
      </c>
      <c r="BC319" s="44"/>
      <c r="BD319" s="44"/>
      <c r="BE319" s="44"/>
      <c r="BF319" s="44"/>
    </row>
    <row r="320">
      <c r="A320" s="40">
        <v>46066.0</v>
      </c>
      <c r="B320" s="4" t="s">
        <v>1536</v>
      </c>
      <c r="C320" s="4" t="s">
        <v>194</v>
      </c>
      <c r="D320" s="15" t="s">
        <v>38</v>
      </c>
      <c r="E320" s="15">
        <v>0.5</v>
      </c>
      <c r="AU320" s="43">
        <v>46341.0</v>
      </c>
      <c r="AX320" s="15" t="s">
        <v>86</v>
      </c>
      <c r="BB320" s="43">
        <f>IFERROR(__xludf.DUMMYFUNCTION("""COMPUTED_VALUE"""),46341.0)</f>
        <v>46341</v>
      </c>
      <c r="BC320" s="44"/>
      <c r="BD320" s="44"/>
      <c r="BE320" s="44"/>
      <c r="BF320" s="44"/>
    </row>
    <row r="321">
      <c r="A321" s="40">
        <v>46066.0</v>
      </c>
      <c r="B321" s="4" t="s">
        <v>1335</v>
      </c>
      <c r="C321" s="4" t="s">
        <v>259</v>
      </c>
      <c r="D321" s="15" t="s">
        <v>314</v>
      </c>
      <c r="E321" s="15">
        <v>1.0</v>
      </c>
      <c r="AU321" s="43">
        <v>46342.0</v>
      </c>
      <c r="AX321" s="15" t="s">
        <v>86</v>
      </c>
      <c r="BB321" s="43">
        <f>IFERROR(__xludf.DUMMYFUNCTION("""COMPUTED_VALUE"""),46342.0)</f>
        <v>46342</v>
      </c>
      <c r="BC321" s="44"/>
      <c r="BD321" s="44"/>
      <c r="BE321" s="44"/>
      <c r="BF321" s="44"/>
    </row>
    <row r="322">
      <c r="A322" s="40">
        <v>46069.0</v>
      </c>
      <c r="B322" s="4" t="s">
        <v>251</v>
      </c>
      <c r="C322" s="4" t="s">
        <v>259</v>
      </c>
      <c r="D322" s="15" t="s">
        <v>53</v>
      </c>
      <c r="E322" s="15">
        <v>1.0</v>
      </c>
      <c r="AU322" s="43">
        <v>46343.0</v>
      </c>
      <c r="AX322" s="15" t="s">
        <v>86</v>
      </c>
      <c r="BB322" s="43">
        <f>IFERROR(__xludf.DUMMYFUNCTION("""COMPUTED_VALUE"""),46343.0)</f>
        <v>46343</v>
      </c>
      <c r="BC322" s="44"/>
      <c r="BD322" s="44"/>
      <c r="BE322" s="44"/>
      <c r="BF322" s="44"/>
    </row>
    <row r="323">
      <c r="A323" s="40">
        <v>46069.0</v>
      </c>
      <c r="B323" s="4" t="s">
        <v>196</v>
      </c>
      <c r="C323" s="4" t="s">
        <v>259</v>
      </c>
      <c r="D323" s="15" t="s">
        <v>93</v>
      </c>
      <c r="E323" s="15">
        <v>1.0</v>
      </c>
      <c r="AU323" s="43">
        <v>46344.0</v>
      </c>
      <c r="AX323" s="15" t="s">
        <v>86</v>
      </c>
      <c r="BB323" s="43">
        <f>IFERROR(__xludf.DUMMYFUNCTION("""COMPUTED_VALUE"""),46344.0)</f>
        <v>46344</v>
      </c>
      <c r="BC323" s="44"/>
      <c r="BD323" s="44"/>
      <c r="BE323" s="44"/>
      <c r="BF323" s="44"/>
    </row>
    <row r="324">
      <c r="A324" s="40">
        <v>46069.0</v>
      </c>
      <c r="B324" s="4" t="s">
        <v>173</v>
      </c>
      <c r="C324" s="4" t="s">
        <v>420</v>
      </c>
      <c r="D324" s="15" t="s">
        <v>93</v>
      </c>
      <c r="E324" s="15">
        <v>0.25</v>
      </c>
      <c r="AU324" s="43">
        <v>46345.0</v>
      </c>
      <c r="AX324" s="15" t="s">
        <v>86</v>
      </c>
      <c r="BB324" s="43">
        <f>IFERROR(__xludf.DUMMYFUNCTION("""COMPUTED_VALUE"""),46345.0)</f>
        <v>46345</v>
      </c>
      <c r="BC324" s="44"/>
      <c r="BD324" s="44"/>
      <c r="BE324" s="44"/>
      <c r="BF324" s="44"/>
    </row>
    <row r="325">
      <c r="A325" s="40">
        <v>46069.0</v>
      </c>
      <c r="B325" s="4" t="s">
        <v>31</v>
      </c>
      <c r="C325" s="4" t="s">
        <v>194</v>
      </c>
      <c r="D325" s="15" t="s">
        <v>38</v>
      </c>
      <c r="E325" s="15">
        <v>0.5</v>
      </c>
      <c r="AU325" s="43">
        <v>46346.0</v>
      </c>
      <c r="AX325" s="15" t="s">
        <v>86</v>
      </c>
      <c r="BB325" s="43">
        <f>IFERROR(__xludf.DUMMYFUNCTION("""COMPUTED_VALUE"""),46346.0)</f>
        <v>46346</v>
      </c>
      <c r="BC325" s="44"/>
      <c r="BD325" s="44"/>
      <c r="BE325" s="44"/>
      <c r="BF325" s="44"/>
    </row>
    <row r="326">
      <c r="A326" s="40">
        <v>46069.0</v>
      </c>
      <c r="B326" s="4" t="s">
        <v>58</v>
      </c>
      <c r="C326" s="4" t="s">
        <v>406</v>
      </c>
      <c r="D326" s="15" t="s">
        <v>38</v>
      </c>
      <c r="E326" s="15">
        <v>0.4166666666666667</v>
      </c>
      <c r="AU326" s="43">
        <v>46347.0</v>
      </c>
      <c r="AX326" s="15" t="s">
        <v>86</v>
      </c>
      <c r="BB326" s="43">
        <f>IFERROR(__xludf.DUMMYFUNCTION("""COMPUTED_VALUE"""),46347.0)</f>
        <v>46347</v>
      </c>
      <c r="BC326" s="44"/>
      <c r="BD326" s="44"/>
      <c r="BE326" s="44"/>
      <c r="BF326" s="44"/>
    </row>
    <row r="327">
      <c r="A327" s="40">
        <v>46069.0</v>
      </c>
      <c r="B327" s="4" t="s">
        <v>208</v>
      </c>
      <c r="C327" s="4" t="s">
        <v>194</v>
      </c>
      <c r="D327" s="15" t="s">
        <v>53</v>
      </c>
      <c r="E327" s="15">
        <v>0.5</v>
      </c>
      <c r="AU327" s="43">
        <v>46348.0</v>
      </c>
      <c r="AX327" s="15" t="s">
        <v>86</v>
      </c>
      <c r="BB327" s="43">
        <f>IFERROR(__xludf.DUMMYFUNCTION("""COMPUTED_VALUE"""),46348.0)</f>
        <v>46348</v>
      </c>
      <c r="BC327" s="44"/>
      <c r="BD327" s="44"/>
      <c r="BE327" s="44"/>
      <c r="BF327" s="44"/>
    </row>
    <row r="328">
      <c r="A328" s="40">
        <v>46069.0</v>
      </c>
      <c r="B328" s="4" t="s">
        <v>208</v>
      </c>
      <c r="C328" s="4" t="s">
        <v>194</v>
      </c>
      <c r="D328" s="15" t="s">
        <v>53</v>
      </c>
      <c r="E328" s="15">
        <v>0.5</v>
      </c>
      <c r="AU328" s="43">
        <v>46349.0</v>
      </c>
      <c r="AX328" s="15" t="s">
        <v>86</v>
      </c>
      <c r="BB328" s="43">
        <f>IFERROR(__xludf.DUMMYFUNCTION("""COMPUTED_VALUE"""),46349.0)</f>
        <v>46349</v>
      </c>
      <c r="BC328" s="44"/>
      <c r="BD328" s="44"/>
      <c r="BE328" s="44"/>
      <c r="BF328" s="44"/>
    </row>
    <row r="329">
      <c r="A329" s="40">
        <v>46069.0</v>
      </c>
      <c r="B329" s="4" t="s">
        <v>208</v>
      </c>
      <c r="C329" s="4" t="s">
        <v>194</v>
      </c>
      <c r="D329" s="15" t="s">
        <v>53</v>
      </c>
      <c r="E329" s="15">
        <v>0.5</v>
      </c>
      <c r="AU329" s="43">
        <v>46350.0</v>
      </c>
      <c r="AX329" s="15" t="s">
        <v>86</v>
      </c>
      <c r="BB329" s="43">
        <f>IFERROR(__xludf.DUMMYFUNCTION("""COMPUTED_VALUE"""),46350.0)</f>
        <v>46350</v>
      </c>
      <c r="BC329" s="44"/>
      <c r="BD329" s="44"/>
      <c r="BE329" s="44"/>
      <c r="BF329" s="44"/>
    </row>
    <row r="330">
      <c r="A330" s="40">
        <v>46069.0</v>
      </c>
      <c r="B330" s="4" t="s">
        <v>208</v>
      </c>
      <c r="C330" s="4" t="s">
        <v>259</v>
      </c>
      <c r="D330" s="15" t="s">
        <v>53</v>
      </c>
      <c r="E330" s="15">
        <v>1.0</v>
      </c>
      <c r="AU330" s="43">
        <v>46351.0</v>
      </c>
      <c r="AX330" s="15" t="s">
        <v>86</v>
      </c>
      <c r="BB330" s="43">
        <f>IFERROR(__xludf.DUMMYFUNCTION("""COMPUTED_VALUE"""),46351.0)</f>
        <v>46351</v>
      </c>
      <c r="BC330" s="44"/>
      <c r="BD330" s="44"/>
      <c r="BE330" s="44"/>
      <c r="BF330" s="44"/>
    </row>
    <row r="331">
      <c r="A331" s="40">
        <v>46069.0</v>
      </c>
      <c r="B331" s="4" t="s">
        <v>1305</v>
      </c>
      <c r="C331" s="4" t="s">
        <v>194</v>
      </c>
      <c r="D331" s="15" t="s">
        <v>314</v>
      </c>
      <c r="E331" s="15">
        <v>0.5</v>
      </c>
      <c r="AU331" s="43">
        <v>46352.0</v>
      </c>
      <c r="AX331" s="15" t="s">
        <v>86</v>
      </c>
      <c r="BB331" s="43">
        <f>IFERROR(__xludf.DUMMYFUNCTION("""COMPUTED_VALUE"""),46352.0)</f>
        <v>46352</v>
      </c>
      <c r="BC331" s="44"/>
      <c r="BD331" s="44"/>
      <c r="BE331" s="44"/>
      <c r="BF331" s="44"/>
    </row>
    <row r="332">
      <c r="A332" s="40">
        <v>46069.0</v>
      </c>
      <c r="B332" s="4" t="s">
        <v>1268</v>
      </c>
      <c r="C332" s="4" t="s">
        <v>1747</v>
      </c>
      <c r="D332" s="15" t="s">
        <v>314</v>
      </c>
      <c r="E332" s="15">
        <v>3.0</v>
      </c>
      <c r="AU332" s="43">
        <v>46353.0</v>
      </c>
      <c r="AX332" s="15" t="s">
        <v>86</v>
      </c>
      <c r="BB332" s="43">
        <f>IFERROR(__xludf.DUMMYFUNCTION("""COMPUTED_VALUE"""),46353.0)</f>
        <v>46353</v>
      </c>
      <c r="BC332" s="44"/>
      <c r="BD332" s="44"/>
      <c r="BE332" s="44"/>
      <c r="BF332" s="44"/>
    </row>
    <row r="333">
      <c r="A333" s="40">
        <v>46069.0</v>
      </c>
      <c r="B333" s="4" t="s">
        <v>743</v>
      </c>
      <c r="C333" s="4" t="s">
        <v>259</v>
      </c>
      <c r="D333" s="15" t="s">
        <v>93</v>
      </c>
      <c r="E333" s="15">
        <v>1.0</v>
      </c>
      <c r="AU333" s="43">
        <v>46354.0</v>
      </c>
      <c r="AX333" s="15" t="s">
        <v>86</v>
      </c>
      <c r="BB333" s="43">
        <f>IFERROR(__xludf.DUMMYFUNCTION("""COMPUTED_VALUE"""),46354.0)</f>
        <v>46354</v>
      </c>
      <c r="BC333" s="44"/>
      <c r="BD333" s="44"/>
      <c r="BE333" s="44"/>
      <c r="BF333" s="44"/>
    </row>
    <row r="334">
      <c r="A334" s="40">
        <v>46069.0</v>
      </c>
      <c r="B334" s="4" t="s">
        <v>224</v>
      </c>
      <c r="C334" s="4" t="s">
        <v>259</v>
      </c>
      <c r="D334" s="15" t="s">
        <v>53</v>
      </c>
      <c r="E334" s="15">
        <v>1.0</v>
      </c>
      <c r="AU334" s="43">
        <v>46355.0</v>
      </c>
      <c r="AX334" s="15" t="s">
        <v>86</v>
      </c>
      <c r="BB334" s="43">
        <f>IFERROR(__xludf.DUMMYFUNCTION("""COMPUTED_VALUE"""),46355.0)</f>
        <v>46355</v>
      </c>
      <c r="BC334" s="44"/>
      <c r="BD334" s="44"/>
      <c r="BE334" s="44"/>
      <c r="BF334" s="44"/>
    </row>
    <row r="335">
      <c r="A335" s="40">
        <v>46070.0</v>
      </c>
      <c r="B335" s="4" t="s">
        <v>218</v>
      </c>
      <c r="C335" s="4" t="s">
        <v>291</v>
      </c>
      <c r="D335" s="15" t="s">
        <v>53</v>
      </c>
      <c r="E335" s="15">
        <v>1.5</v>
      </c>
      <c r="AU335" s="43">
        <v>46356.0</v>
      </c>
      <c r="AX335" s="15" t="s">
        <v>86</v>
      </c>
      <c r="BB335" s="43">
        <f>IFERROR(__xludf.DUMMYFUNCTION("""COMPUTED_VALUE"""),46356.0)</f>
        <v>46356</v>
      </c>
      <c r="BC335" s="44"/>
      <c r="BD335" s="44"/>
      <c r="BE335" s="44"/>
      <c r="BF335" s="44"/>
    </row>
    <row r="336">
      <c r="A336" s="40">
        <v>46070.0</v>
      </c>
      <c r="B336" s="4" t="s">
        <v>58</v>
      </c>
      <c r="C336" s="4" t="s">
        <v>194</v>
      </c>
      <c r="D336" s="15" t="s">
        <v>38</v>
      </c>
      <c r="E336" s="15">
        <v>0.5</v>
      </c>
      <c r="AU336" s="43">
        <v>46357.0</v>
      </c>
      <c r="AX336" s="15" t="s">
        <v>86</v>
      </c>
      <c r="BB336" s="43">
        <f>IFERROR(__xludf.DUMMYFUNCTION("""COMPUTED_VALUE"""),46357.0)</f>
        <v>46357</v>
      </c>
      <c r="BC336" s="44"/>
      <c r="BD336" s="44"/>
      <c r="BE336" s="44"/>
      <c r="BF336" s="44"/>
    </row>
    <row r="337">
      <c r="A337" s="40">
        <v>46070.0</v>
      </c>
      <c r="B337" s="4" t="s">
        <v>196</v>
      </c>
      <c r="C337" s="4" t="s">
        <v>259</v>
      </c>
      <c r="D337" s="15" t="s">
        <v>93</v>
      </c>
      <c r="E337" s="15">
        <v>1.0</v>
      </c>
      <c r="AU337" s="43">
        <v>46358.0</v>
      </c>
      <c r="AX337" s="15" t="s">
        <v>86</v>
      </c>
      <c r="BB337" s="43">
        <f>IFERROR(__xludf.DUMMYFUNCTION("""COMPUTED_VALUE"""),46358.0)</f>
        <v>46358</v>
      </c>
      <c r="BC337" s="44"/>
      <c r="BD337" s="44"/>
      <c r="BE337" s="44"/>
      <c r="BF337" s="44"/>
    </row>
    <row r="338">
      <c r="A338" s="40">
        <v>46070.0</v>
      </c>
      <c r="B338" s="4" t="s">
        <v>173</v>
      </c>
      <c r="C338" s="4" t="s">
        <v>420</v>
      </c>
      <c r="D338" s="15" t="s">
        <v>93</v>
      </c>
      <c r="E338" s="15">
        <v>0.25</v>
      </c>
      <c r="AU338" s="43">
        <v>46359.0</v>
      </c>
      <c r="AX338" s="15" t="s">
        <v>86</v>
      </c>
      <c r="BB338" s="43">
        <f>IFERROR(__xludf.DUMMYFUNCTION("""COMPUTED_VALUE"""),46359.0)</f>
        <v>46359</v>
      </c>
      <c r="BC338" s="44"/>
      <c r="BD338" s="44"/>
      <c r="BE338" s="44"/>
      <c r="BF338" s="44"/>
    </row>
    <row r="339">
      <c r="A339" s="40">
        <v>46070.0</v>
      </c>
      <c r="B339" s="4" t="s">
        <v>196</v>
      </c>
      <c r="C339" s="4" t="s">
        <v>194</v>
      </c>
      <c r="D339" s="15" t="s">
        <v>93</v>
      </c>
      <c r="E339" s="15">
        <v>0.5</v>
      </c>
      <c r="AU339" s="43">
        <v>46360.0</v>
      </c>
      <c r="AX339" s="15" t="s">
        <v>86</v>
      </c>
      <c r="BB339" s="43">
        <f>IFERROR(__xludf.DUMMYFUNCTION("""COMPUTED_VALUE"""),46360.0)</f>
        <v>46360</v>
      </c>
      <c r="BC339" s="44"/>
      <c r="BD339" s="44"/>
      <c r="BE339" s="44"/>
      <c r="BF339" s="44"/>
    </row>
    <row r="340">
      <c r="A340" s="40">
        <v>46070.0</v>
      </c>
      <c r="B340" s="4" t="s">
        <v>58</v>
      </c>
      <c r="C340" s="4" t="s">
        <v>194</v>
      </c>
      <c r="D340" s="15" t="s">
        <v>38</v>
      </c>
      <c r="E340" s="15">
        <v>0.5</v>
      </c>
      <c r="AU340" s="43">
        <v>46361.0</v>
      </c>
      <c r="AX340" s="15" t="s">
        <v>86</v>
      </c>
      <c r="BB340" s="43">
        <f>IFERROR(__xludf.DUMMYFUNCTION("""COMPUTED_VALUE"""),46361.0)</f>
        <v>46361</v>
      </c>
      <c r="BC340" s="44"/>
      <c r="BD340" s="44"/>
      <c r="BE340" s="44"/>
      <c r="BF340" s="44"/>
    </row>
    <row r="341">
      <c r="A341" s="40">
        <v>46070.0</v>
      </c>
      <c r="B341" s="4" t="s">
        <v>58</v>
      </c>
      <c r="C341" s="4" t="s">
        <v>259</v>
      </c>
      <c r="D341" s="15" t="s">
        <v>38</v>
      </c>
      <c r="E341" s="15">
        <v>1.0</v>
      </c>
      <c r="AU341" s="43">
        <v>46362.0</v>
      </c>
      <c r="AX341" s="15" t="s">
        <v>86</v>
      </c>
      <c r="BB341" s="43">
        <f>IFERROR(__xludf.DUMMYFUNCTION("""COMPUTED_VALUE"""),46362.0)</f>
        <v>46362</v>
      </c>
      <c r="BC341" s="44"/>
      <c r="BD341" s="44"/>
      <c r="BE341" s="44"/>
      <c r="BF341" s="44"/>
    </row>
    <row r="342">
      <c r="A342" s="40">
        <v>46070.0</v>
      </c>
      <c r="B342" s="4" t="s">
        <v>205</v>
      </c>
      <c r="C342" s="4" t="s">
        <v>558</v>
      </c>
      <c r="D342" s="15" t="s">
        <v>53</v>
      </c>
      <c r="E342" s="15">
        <v>2.0</v>
      </c>
      <c r="AU342" s="43">
        <v>46363.0</v>
      </c>
      <c r="AX342" s="15" t="s">
        <v>86</v>
      </c>
      <c r="BB342" s="43">
        <f>IFERROR(__xludf.DUMMYFUNCTION("""COMPUTED_VALUE"""),46363.0)</f>
        <v>46363</v>
      </c>
      <c r="BC342" s="44"/>
      <c r="BD342" s="44"/>
      <c r="BE342" s="44"/>
      <c r="BF342" s="44"/>
    </row>
    <row r="343">
      <c r="A343" s="40">
        <v>46070.0</v>
      </c>
      <c r="B343" s="4" t="s">
        <v>637</v>
      </c>
      <c r="C343" s="4" t="s">
        <v>194</v>
      </c>
      <c r="D343" s="15" t="s">
        <v>53</v>
      </c>
      <c r="E343" s="15">
        <v>0.5</v>
      </c>
      <c r="AU343" s="43">
        <v>46364.0</v>
      </c>
      <c r="AX343" s="15" t="s">
        <v>86</v>
      </c>
      <c r="BB343" s="43">
        <f>IFERROR(__xludf.DUMMYFUNCTION("""COMPUTED_VALUE"""),46364.0)</f>
        <v>46364</v>
      </c>
      <c r="BC343" s="44"/>
      <c r="BD343" s="44"/>
      <c r="BE343" s="44"/>
      <c r="BF343" s="44"/>
    </row>
    <row r="344">
      <c r="A344" s="40">
        <v>46071.0</v>
      </c>
      <c r="B344" s="4" t="s">
        <v>208</v>
      </c>
      <c r="C344" s="4" t="s">
        <v>259</v>
      </c>
      <c r="D344" s="15" t="s">
        <v>53</v>
      </c>
      <c r="E344" s="15">
        <v>1.0</v>
      </c>
      <c r="AU344" s="43">
        <v>46365.0</v>
      </c>
      <c r="AX344" s="15" t="s">
        <v>86</v>
      </c>
      <c r="BB344" s="43">
        <f>IFERROR(__xludf.DUMMYFUNCTION("""COMPUTED_VALUE"""),46365.0)</f>
        <v>46365</v>
      </c>
      <c r="BC344" s="44"/>
      <c r="BD344" s="44"/>
      <c r="BE344" s="44"/>
      <c r="BF344" s="44"/>
    </row>
    <row r="345">
      <c r="A345" s="40">
        <v>46071.0</v>
      </c>
      <c r="B345" s="4" t="s">
        <v>189</v>
      </c>
      <c r="C345" s="4" t="s">
        <v>259</v>
      </c>
      <c r="D345" s="15" t="s">
        <v>93</v>
      </c>
      <c r="E345" s="15">
        <v>1.0</v>
      </c>
      <c r="AU345" s="43">
        <v>46366.0</v>
      </c>
      <c r="AX345" s="15" t="s">
        <v>86</v>
      </c>
      <c r="BB345" s="43">
        <f>IFERROR(__xludf.DUMMYFUNCTION("""COMPUTED_VALUE"""),46366.0)</f>
        <v>46366</v>
      </c>
      <c r="BC345" s="44"/>
      <c r="BD345" s="44"/>
      <c r="BE345" s="44"/>
      <c r="BF345" s="44"/>
    </row>
    <row r="346">
      <c r="A346" s="40">
        <v>46071.0</v>
      </c>
      <c r="B346" s="4" t="s">
        <v>196</v>
      </c>
      <c r="C346" s="4" t="s">
        <v>194</v>
      </c>
      <c r="D346" s="15" t="s">
        <v>93</v>
      </c>
      <c r="E346" s="15">
        <v>0.5</v>
      </c>
      <c r="AU346" s="43">
        <v>46367.0</v>
      </c>
      <c r="AX346" s="15" t="s">
        <v>86</v>
      </c>
      <c r="BB346" s="43">
        <f>IFERROR(__xludf.DUMMYFUNCTION("""COMPUTED_VALUE"""),46367.0)</f>
        <v>46367</v>
      </c>
      <c r="BC346" s="44"/>
      <c r="BD346" s="44"/>
      <c r="BE346" s="44"/>
      <c r="BF346" s="44"/>
    </row>
    <row r="347">
      <c r="A347" s="40">
        <v>46071.0</v>
      </c>
      <c r="B347" s="4" t="s">
        <v>173</v>
      </c>
      <c r="C347" s="4" t="s">
        <v>194</v>
      </c>
      <c r="D347" s="15" t="s">
        <v>93</v>
      </c>
      <c r="E347" s="15">
        <v>0.5</v>
      </c>
      <c r="AU347" s="43">
        <v>46368.0</v>
      </c>
      <c r="AX347" s="15" t="s">
        <v>86</v>
      </c>
      <c r="BB347" s="43">
        <f>IFERROR(__xludf.DUMMYFUNCTION("""COMPUTED_VALUE"""),46368.0)</f>
        <v>46368</v>
      </c>
      <c r="BC347" s="44"/>
      <c r="BD347" s="44"/>
      <c r="BE347" s="44"/>
      <c r="BF347" s="44"/>
    </row>
    <row r="348">
      <c r="A348" s="40">
        <v>46071.0</v>
      </c>
      <c r="B348" s="4" t="s">
        <v>1268</v>
      </c>
      <c r="C348" s="4" t="s">
        <v>259</v>
      </c>
      <c r="D348" s="15" t="s">
        <v>314</v>
      </c>
      <c r="E348" s="15">
        <v>1.0</v>
      </c>
      <c r="AU348" s="43">
        <v>46369.0</v>
      </c>
      <c r="AX348" s="15" t="s">
        <v>86</v>
      </c>
      <c r="BB348" s="43">
        <f>IFERROR(__xludf.DUMMYFUNCTION("""COMPUTED_VALUE"""),46369.0)</f>
        <v>46369</v>
      </c>
      <c r="BC348" s="44"/>
      <c r="BD348" s="44"/>
      <c r="BE348" s="44"/>
      <c r="BF348" s="44"/>
    </row>
    <row r="349">
      <c r="A349" s="40">
        <v>46071.0</v>
      </c>
      <c r="B349" s="4" t="s">
        <v>31</v>
      </c>
      <c r="C349" s="4" t="s">
        <v>259</v>
      </c>
      <c r="D349" s="15" t="s">
        <v>38</v>
      </c>
      <c r="E349" s="15">
        <v>1.0</v>
      </c>
      <c r="AU349" s="43">
        <v>46370.0</v>
      </c>
      <c r="AX349" s="15" t="s">
        <v>86</v>
      </c>
      <c r="BB349" s="43">
        <f>IFERROR(__xludf.DUMMYFUNCTION("""COMPUTED_VALUE"""),46370.0)</f>
        <v>46370</v>
      </c>
      <c r="BC349" s="44"/>
      <c r="BD349" s="44"/>
      <c r="BE349" s="44"/>
      <c r="BF349" s="44"/>
    </row>
    <row r="350">
      <c r="A350" s="40">
        <v>46071.0</v>
      </c>
      <c r="B350" s="4" t="s">
        <v>58</v>
      </c>
      <c r="C350" s="4" t="s">
        <v>194</v>
      </c>
      <c r="D350" s="15" t="s">
        <v>38</v>
      </c>
      <c r="E350" s="15">
        <v>0.5</v>
      </c>
      <c r="AU350" s="43">
        <v>46371.0</v>
      </c>
      <c r="AX350" s="15" t="s">
        <v>86</v>
      </c>
      <c r="BB350" s="43">
        <f>IFERROR(__xludf.DUMMYFUNCTION("""COMPUTED_VALUE"""),46371.0)</f>
        <v>46371</v>
      </c>
      <c r="BC350" s="44"/>
      <c r="BD350" s="44"/>
      <c r="BE350" s="44"/>
      <c r="BF350" s="44"/>
    </row>
    <row r="351">
      <c r="A351" s="40">
        <v>46071.0</v>
      </c>
      <c r="B351" s="4" t="s">
        <v>31</v>
      </c>
      <c r="C351" s="4" t="s">
        <v>194</v>
      </c>
      <c r="D351" s="15" t="s">
        <v>38</v>
      </c>
      <c r="E351" s="15">
        <v>0.5</v>
      </c>
      <c r="AU351" s="43">
        <v>46372.0</v>
      </c>
      <c r="AX351" s="15" t="s">
        <v>86</v>
      </c>
      <c r="BB351" s="43">
        <f>IFERROR(__xludf.DUMMYFUNCTION("""COMPUTED_VALUE"""),46372.0)</f>
        <v>46372</v>
      </c>
      <c r="BC351" s="44"/>
      <c r="BD351" s="44"/>
      <c r="BE351" s="44"/>
      <c r="BF351" s="44"/>
    </row>
    <row r="352">
      <c r="A352" s="40">
        <v>46071.0</v>
      </c>
      <c r="B352" s="4" t="s">
        <v>58</v>
      </c>
      <c r="C352" s="4" t="s">
        <v>259</v>
      </c>
      <c r="D352" s="15" t="s">
        <v>38</v>
      </c>
      <c r="E352" s="15">
        <v>1.0</v>
      </c>
      <c r="AU352" s="43">
        <v>46373.0</v>
      </c>
      <c r="AX352" s="15" t="s">
        <v>86</v>
      </c>
      <c r="BB352" s="43">
        <f>IFERROR(__xludf.DUMMYFUNCTION("""COMPUTED_VALUE"""),46373.0)</f>
        <v>46373</v>
      </c>
      <c r="BC352" s="44"/>
      <c r="BD352" s="44"/>
      <c r="BE352" s="44"/>
      <c r="BF352" s="44"/>
    </row>
    <row r="353">
      <c r="A353" s="40">
        <v>46071.0</v>
      </c>
      <c r="B353" s="4" t="s">
        <v>346</v>
      </c>
      <c r="C353" s="4" t="s">
        <v>194</v>
      </c>
      <c r="D353" s="15" t="s">
        <v>53</v>
      </c>
      <c r="E353" s="15">
        <v>0.5</v>
      </c>
      <c r="AU353" s="43">
        <v>46374.0</v>
      </c>
      <c r="AX353" s="15" t="s">
        <v>86</v>
      </c>
      <c r="BB353" s="43">
        <f>IFERROR(__xludf.DUMMYFUNCTION("""COMPUTED_VALUE"""),46374.0)</f>
        <v>46374</v>
      </c>
      <c r="BC353" s="44"/>
      <c r="BD353" s="44"/>
      <c r="BE353" s="44"/>
      <c r="BF353" s="44"/>
    </row>
    <row r="354">
      <c r="A354" s="40">
        <v>46071.0</v>
      </c>
      <c r="B354" s="4" t="s">
        <v>212</v>
      </c>
      <c r="C354" s="4" t="s">
        <v>259</v>
      </c>
      <c r="D354" s="15" t="s">
        <v>53</v>
      </c>
      <c r="E354" s="15">
        <v>1.0</v>
      </c>
      <c r="AU354" s="43">
        <v>46375.0</v>
      </c>
      <c r="AX354" s="15" t="s">
        <v>86</v>
      </c>
      <c r="BB354" s="43">
        <f>IFERROR(__xludf.DUMMYFUNCTION("""COMPUTED_VALUE"""),46375.0)</f>
        <v>46375</v>
      </c>
      <c r="BC354" s="44"/>
      <c r="BD354" s="44"/>
      <c r="BE354" s="44"/>
      <c r="BF354" s="44"/>
    </row>
    <row r="355">
      <c r="A355" s="40">
        <v>46071.0</v>
      </c>
      <c r="B355" s="4" t="s">
        <v>1260</v>
      </c>
      <c r="C355" s="4" t="s">
        <v>291</v>
      </c>
      <c r="D355" s="15" t="s">
        <v>314</v>
      </c>
      <c r="E355" s="15">
        <v>1.5</v>
      </c>
      <c r="AU355" s="43">
        <v>46376.0</v>
      </c>
      <c r="AX355" s="15" t="s">
        <v>86</v>
      </c>
      <c r="BB355" s="43">
        <f>IFERROR(__xludf.DUMMYFUNCTION("""COMPUTED_VALUE"""),46376.0)</f>
        <v>46376</v>
      </c>
      <c r="BC355" s="44"/>
      <c r="BD355" s="44"/>
      <c r="BE355" s="44"/>
      <c r="BF355" s="44"/>
    </row>
    <row r="356">
      <c r="A356" s="40">
        <v>46071.0</v>
      </c>
      <c r="B356" s="4" t="s">
        <v>196</v>
      </c>
      <c r="C356" s="4" t="s">
        <v>194</v>
      </c>
      <c r="D356" s="15" t="s">
        <v>93</v>
      </c>
      <c r="E356" s="15">
        <v>0.5</v>
      </c>
      <c r="AU356" s="43">
        <v>46377.0</v>
      </c>
      <c r="AX356" s="15" t="s">
        <v>86</v>
      </c>
      <c r="BB356" s="43">
        <f>IFERROR(__xludf.DUMMYFUNCTION("""COMPUTED_VALUE"""),46377.0)</f>
        <v>46377</v>
      </c>
      <c r="BC356" s="44"/>
      <c r="BD356" s="44"/>
      <c r="BE356" s="44"/>
      <c r="BF356" s="44"/>
    </row>
    <row r="357">
      <c r="A357" s="40">
        <v>46072.0</v>
      </c>
      <c r="B357" s="4" t="s">
        <v>205</v>
      </c>
      <c r="C357" s="4" t="s">
        <v>259</v>
      </c>
      <c r="D357" s="15" t="s">
        <v>53</v>
      </c>
      <c r="E357" s="15">
        <v>1.0</v>
      </c>
      <c r="AU357" s="43">
        <v>46378.0</v>
      </c>
      <c r="AX357" s="15" t="s">
        <v>86</v>
      </c>
      <c r="BB357" s="43">
        <f>IFERROR(__xludf.DUMMYFUNCTION("""COMPUTED_VALUE"""),46378.0)</f>
        <v>46378</v>
      </c>
      <c r="BC357" s="44"/>
      <c r="BD357" s="44"/>
      <c r="BE357" s="44"/>
      <c r="BF357" s="44"/>
    </row>
    <row r="358">
      <c r="A358" s="40">
        <v>46072.0</v>
      </c>
      <c r="B358" s="4" t="s">
        <v>189</v>
      </c>
      <c r="C358" s="4" t="s">
        <v>259</v>
      </c>
      <c r="D358" s="15" t="s">
        <v>93</v>
      </c>
      <c r="E358" s="15">
        <v>1.0</v>
      </c>
      <c r="AU358" s="43">
        <v>46379.0</v>
      </c>
      <c r="AX358" s="15" t="s">
        <v>86</v>
      </c>
      <c r="BB358" s="43">
        <f>IFERROR(__xludf.DUMMYFUNCTION("""COMPUTED_VALUE"""),46379.0)</f>
        <v>46379</v>
      </c>
      <c r="BC358" s="44"/>
      <c r="BD358" s="44"/>
      <c r="BE358" s="44"/>
      <c r="BF358" s="44"/>
    </row>
    <row r="359">
      <c r="A359" s="40">
        <v>46072.0</v>
      </c>
      <c r="B359" s="4" t="s">
        <v>196</v>
      </c>
      <c r="C359" s="4" t="s">
        <v>194</v>
      </c>
      <c r="D359" s="15" t="s">
        <v>93</v>
      </c>
      <c r="E359" s="15">
        <v>0.5</v>
      </c>
      <c r="AU359" s="43">
        <v>46380.0</v>
      </c>
      <c r="AX359" s="15" t="s">
        <v>86</v>
      </c>
      <c r="BB359" s="43">
        <f>IFERROR(__xludf.DUMMYFUNCTION("""COMPUTED_VALUE"""),46380.0)</f>
        <v>46380</v>
      </c>
      <c r="BC359" s="44"/>
      <c r="BD359" s="44"/>
      <c r="BE359" s="44"/>
      <c r="BF359" s="44"/>
    </row>
    <row r="360">
      <c r="A360" s="40">
        <v>46072.0</v>
      </c>
      <c r="B360" s="4" t="s">
        <v>173</v>
      </c>
      <c r="C360" s="4" t="s">
        <v>420</v>
      </c>
      <c r="D360" s="15" t="s">
        <v>93</v>
      </c>
      <c r="E360" s="15">
        <v>0.25</v>
      </c>
      <c r="AU360" s="43">
        <v>46381.0</v>
      </c>
      <c r="AX360" s="15" t="s">
        <v>86</v>
      </c>
      <c r="BB360" s="43">
        <f>IFERROR(__xludf.DUMMYFUNCTION("""COMPUTED_VALUE"""),46381.0)</f>
        <v>46381</v>
      </c>
      <c r="BC360" s="44"/>
      <c r="BD360" s="44"/>
      <c r="BE360" s="44"/>
      <c r="BF360" s="44"/>
    </row>
    <row r="361">
      <c r="A361" s="40">
        <v>46072.0</v>
      </c>
      <c r="B361" s="4" t="s">
        <v>58</v>
      </c>
      <c r="C361" s="4" t="s">
        <v>406</v>
      </c>
      <c r="D361" s="15" t="s">
        <v>38</v>
      </c>
      <c r="E361" s="15">
        <v>0.4166666666666667</v>
      </c>
      <c r="AU361" s="43">
        <v>46382.0</v>
      </c>
      <c r="AX361" s="15" t="s">
        <v>86</v>
      </c>
      <c r="BB361" s="43">
        <f>IFERROR(__xludf.DUMMYFUNCTION("""COMPUTED_VALUE"""),46382.0)</f>
        <v>46382</v>
      </c>
      <c r="BC361" s="44"/>
      <c r="BD361" s="44"/>
      <c r="BE361" s="44"/>
      <c r="BF361" s="44"/>
    </row>
    <row r="362">
      <c r="A362" s="40">
        <v>46072.0</v>
      </c>
      <c r="B362" s="4" t="s">
        <v>173</v>
      </c>
      <c r="C362" s="4" t="s">
        <v>194</v>
      </c>
      <c r="D362" s="15" t="s">
        <v>93</v>
      </c>
      <c r="E362" s="15">
        <v>0.5</v>
      </c>
      <c r="AU362" s="43">
        <v>46383.0</v>
      </c>
      <c r="AX362" s="15" t="s">
        <v>86</v>
      </c>
      <c r="BB362" s="43">
        <f>IFERROR(__xludf.DUMMYFUNCTION("""COMPUTED_VALUE"""),46383.0)</f>
        <v>46383</v>
      </c>
      <c r="BC362" s="44"/>
      <c r="BD362" s="44"/>
      <c r="BE362" s="44"/>
      <c r="BF362" s="44"/>
    </row>
    <row r="363">
      <c r="A363" s="40">
        <v>46072.0</v>
      </c>
      <c r="B363" s="4" t="s">
        <v>196</v>
      </c>
      <c r="C363" s="4" t="s">
        <v>259</v>
      </c>
      <c r="D363" s="15" t="s">
        <v>93</v>
      </c>
      <c r="E363" s="15">
        <v>1.0</v>
      </c>
      <c r="AU363" s="43">
        <v>46384.0</v>
      </c>
      <c r="AX363" s="15" t="s">
        <v>86</v>
      </c>
      <c r="BB363" s="43">
        <f>IFERROR(__xludf.DUMMYFUNCTION("""COMPUTED_VALUE"""),46384.0)</f>
        <v>46384</v>
      </c>
      <c r="BC363" s="44"/>
      <c r="BD363" s="44"/>
      <c r="BE363" s="44"/>
      <c r="BF363" s="44"/>
    </row>
    <row r="364">
      <c r="A364" s="40">
        <v>46072.0</v>
      </c>
      <c r="B364" s="4" t="s">
        <v>1272</v>
      </c>
      <c r="C364" s="4" t="s">
        <v>194</v>
      </c>
      <c r="D364" s="15" t="s">
        <v>314</v>
      </c>
      <c r="E364" s="15">
        <v>0.5</v>
      </c>
      <c r="AU364" s="43">
        <v>46385.0</v>
      </c>
      <c r="AX364" s="15" t="s">
        <v>86</v>
      </c>
      <c r="BB364" s="43">
        <f>IFERROR(__xludf.DUMMYFUNCTION("""COMPUTED_VALUE"""),46385.0)</f>
        <v>46385</v>
      </c>
      <c r="BC364" s="44"/>
      <c r="BD364" s="44"/>
      <c r="BE364" s="44"/>
      <c r="BF364" s="44"/>
    </row>
    <row r="365">
      <c r="A365" s="40">
        <v>46072.0</v>
      </c>
      <c r="B365" s="4" t="s">
        <v>58</v>
      </c>
      <c r="C365" s="4" t="s">
        <v>194</v>
      </c>
      <c r="D365" s="15" t="s">
        <v>38</v>
      </c>
      <c r="E365" s="15">
        <v>0.5</v>
      </c>
      <c r="AU365" s="43">
        <v>46386.0</v>
      </c>
      <c r="AX365" s="15" t="s">
        <v>86</v>
      </c>
      <c r="BB365" s="43">
        <f>IFERROR(__xludf.DUMMYFUNCTION("""COMPUTED_VALUE"""),46386.0)</f>
        <v>46386</v>
      </c>
      <c r="BC365" s="44"/>
      <c r="BD365" s="44"/>
      <c r="BE365" s="44"/>
      <c r="BF365" s="44"/>
    </row>
    <row r="366">
      <c r="A366" s="40">
        <v>46072.0</v>
      </c>
      <c r="B366" s="4" t="s">
        <v>224</v>
      </c>
      <c r="C366" s="4" t="s">
        <v>259</v>
      </c>
      <c r="D366" s="15" t="s">
        <v>53</v>
      </c>
      <c r="E366" s="15">
        <v>1.0</v>
      </c>
      <c r="AU366" s="43">
        <v>46387.0</v>
      </c>
      <c r="AX366" s="15" t="s">
        <v>86</v>
      </c>
      <c r="BB366" s="43">
        <f>IFERROR(__xludf.DUMMYFUNCTION("""COMPUTED_VALUE"""),46387.0)</f>
        <v>46387</v>
      </c>
      <c r="BC366" s="44"/>
      <c r="BD366" s="44"/>
      <c r="BE366" s="44"/>
      <c r="BF366" s="44"/>
    </row>
    <row r="367">
      <c r="A367" s="40">
        <v>46072.0</v>
      </c>
      <c r="B367" s="4" t="s">
        <v>170</v>
      </c>
      <c r="C367" s="4" t="s">
        <v>194</v>
      </c>
      <c r="D367" s="15" t="s">
        <v>93</v>
      </c>
      <c r="E367" s="15">
        <v>0.5</v>
      </c>
      <c r="AU367" s="43"/>
      <c r="AX367" s="15" t="s">
        <v>86</v>
      </c>
    </row>
    <row r="368">
      <c r="A368" s="40">
        <v>46072.0</v>
      </c>
      <c r="B368" s="4" t="s">
        <v>173</v>
      </c>
      <c r="C368" s="4" t="s">
        <v>194</v>
      </c>
      <c r="D368" s="15" t="s">
        <v>93</v>
      </c>
      <c r="E368" s="15">
        <v>0.5</v>
      </c>
      <c r="AU368" s="43"/>
      <c r="AX368" s="15" t="s">
        <v>86</v>
      </c>
    </row>
    <row r="369">
      <c r="A369" s="40">
        <v>46072.0</v>
      </c>
      <c r="B369" s="4" t="s">
        <v>224</v>
      </c>
      <c r="C369" s="4" t="s">
        <v>259</v>
      </c>
      <c r="D369" s="15" t="s">
        <v>53</v>
      </c>
      <c r="E369" s="15">
        <v>1.0</v>
      </c>
      <c r="AU369" s="43"/>
      <c r="AX369" s="15" t="s">
        <v>86</v>
      </c>
    </row>
    <row r="370">
      <c r="A370" s="40">
        <v>46072.0</v>
      </c>
      <c r="B370" s="4" t="s">
        <v>1260</v>
      </c>
      <c r="C370" s="4" t="s">
        <v>259</v>
      </c>
      <c r="D370" s="15" t="s">
        <v>314</v>
      </c>
      <c r="E370" s="15">
        <v>1.0</v>
      </c>
      <c r="AU370" s="43"/>
      <c r="AX370" s="15" t="s">
        <v>86</v>
      </c>
    </row>
    <row r="371">
      <c r="A371" s="40">
        <v>46073.0</v>
      </c>
      <c r="B371" s="4" t="s">
        <v>31</v>
      </c>
      <c r="C371" s="4" t="s">
        <v>259</v>
      </c>
      <c r="D371" s="15" t="s">
        <v>38</v>
      </c>
      <c r="E371" s="15">
        <v>1.0</v>
      </c>
      <c r="AU371" s="43"/>
      <c r="AX371" s="15" t="s">
        <v>86</v>
      </c>
    </row>
    <row r="372">
      <c r="A372" s="40">
        <v>46073.0</v>
      </c>
      <c r="B372" s="4" t="s">
        <v>196</v>
      </c>
      <c r="C372" s="4" t="s">
        <v>259</v>
      </c>
      <c r="D372" s="15" t="s">
        <v>93</v>
      </c>
      <c r="E372" s="15">
        <v>1.0</v>
      </c>
      <c r="AU372" s="43"/>
      <c r="AX372" s="15" t="s">
        <v>86</v>
      </c>
    </row>
    <row r="373">
      <c r="A373" s="40">
        <v>46073.0</v>
      </c>
      <c r="B373" s="4" t="s">
        <v>173</v>
      </c>
      <c r="C373" s="4" t="s">
        <v>420</v>
      </c>
      <c r="D373" s="15" t="s">
        <v>93</v>
      </c>
      <c r="E373" s="15">
        <v>0.25</v>
      </c>
      <c r="AU373" s="43"/>
      <c r="AX373" s="15" t="s">
        <v>86</v>
      </c>
    </row>
    <row r="374">
      <c r="A374" s="40">
        <v>46073.0</v>
      </c>
      <c r="B374" s="4" t="s">
        <v>176</v>
      </c>
      <c r="C374" s="4" t="s">
        <v>194</v>
      </c>
      <c r="D374" s="15" t="s">
        <v>93</v>
      </c>
      <c r="E374" s="15">
        <v>0.5</v>
      </c>
      <c r="AU374" s="43"/>
      <c r="AX374" s="15" t="s">
        <v>86</v>
      </c>
    </row>
    <row r="375">
      <c r="A375" s="40">
        <v>46073.0</v>
      </c>
      <c r="B375" s="4" t="s">
        <v>205</v>
      </c>
      <c r="C375" s="4" t="s">
        <v>259</v>
      </c>
      <c r="D375" s="15" t="s">
        <v>53</v>
      </c>
      <c r="E375" s="15">
        <v>1.0</v>
      </c>
      <c r="AU375" s="43"/>
      <c r="AX375" s="15" t="s">
        <v>86</v>
      </c>
    </row>
    <row r="376">
      <c r="A376" s="40">
        <v>46073.0</v>
      </c>
      <c r="B376" s="4" t="s">
        <v>31</v>
      </c>
      <c r="C376" s="4" t="s">
        <v>259</v>
      </c>
      <c r="D376" s="15" t="s">
        <v>38</v>
      </c>
      <c r="E376" s="15">
        <v>1.0</v>
      </c>
      <c r="AU376" s="43"/>
      <c r="AX376" s="15" t="s">
        <v>86</v>
      </c>
    </row>
    <row r="377">
      <c r="A377" s="40">
        <v>46073.0</v>
      </c>
      <c r="B377" s="4" t="s">
        <v>218</v>
      </c>
      <c r="C377" s="4" t="s">
        <v>194</v>
      </c>
      <c r="D377" s="15" t="s">
        <v>53</v>
      </c>
      <c r="E377" s="15">
        <v>0.5</v>
      </c>
      <c r="AU377" s="43"/>
      <c r="AX377" s="15" t="s">
        <v>86</v>
      </c>
    </row>
    <row r="378">
      <c r="A378" s="40">
        <v>46073.0</v>
      </c>
      <c r="B378" s="4" t="s">
        <v>637</v>
      </c>
      <c r="C378" s="4" t="s">
        <v>194</v>
      </c>
      <c r="D378" s="15" t="s">
        <v>53</v>
      </c>
      <c r="E378" s="15">
        <v>0.5</v>
      </c>
      <c r="AU378" s="43"/>
      <c r="AX378" s="15" t="s">
        <v>86</v>
      </c>
    </row>
    <row r="379">
      <c r="A379" s="40">
        <v>46073.0</v>
      </c>
      <c r="B379" s="4" t="s">
        <v>1348</v>
      </c>
      <c r="C379" s="4" t="s">
        <v>291</v>
      </c>
      <c r="D379" s="15" t="s">
        <v>314</v>
      </c>
      <c r="E379" s="15">
        <v>1.5</v>
      </c>
      <c r="AU379" s="43"/>
      <c r="AX379" s="15" t="s">
        <v>86</v>
      </c>
    </row>
    <row r="380">
      <c r="A380" s="40">
        <v>46073.0</v>
      </c>
      <c r="B380" s="4" t="s">
        <v>212</v>
      </c>
      <c r="C380" s="4" t="s">
        <v>259</v>
      </c>
      <c r="D380" s="15" t="s">
        <v>53</v>
      </c>
      <c r="E380" s="15">
        <v>1.0</v>
      </c>
      <c r="AU380" s="43"/>
      <c r="AX380" s="15" t="s">
        <v>86</v>
      </c>
    </row>
    <row r="381">
      <c r="A381" s="40">
        <v>46076.0</v>
      </c>
      <c r="B381" s="4" t="s">
        <v>208</v>
      </c>
      <c r="C381" s="4" t="s">
        <v>259</v>
      </c>
      <c r="D381" s="15" t="s">
        <v>53</v>
      </c>
      <c r="E381" s="15">
        <v>1.0</v>
      </c>
      <c r="AU381" s="43"/>
      <c r="AX381" s="15" t="s">
        <v>86</v>
      </c>
    </row>
    <row r="382">
      <c r="A382" s="40">
        <v>46076.0</v>
      </c>
      <c r="B382" s="4" t="s">
        <v>173</v>
      </c>
      <c r="C382" s="4" t="s">
        <v>194</v>
      </c>
      <c r="D382" s="15" t="s">
        <v>93</v>
      </c>
      <c r="E382" s="15">
        <v>0.5</v>
      </c>
      <c r="AU382" s="43"/>
      <c r="AX382" s="15" t="s">
        <v>86</v>
      </c>
    </row>
    <row r="383">
      <c r="A383" s="40">
        <v>46076.0</v>
      </c>
      <c r="B383" s="4" t="s">
        <v>196</v>
      </c>
      <c r="C383" s="4" t="s">
        <v>194</v>
      </c>
      <c r="D383" s="15" t="s">
        <v>93</v>
      </c>
      <c r="E383" s="15">
        <v>0.5</v>
      </c>
      <c r="AU383" s="43"/>
      <c r="AX383" s="15" t="s">
        <v>86</v>
      </c>
    </row>
    <row r="384">
      <c r="A384" s="40">
        <v>46076.0</v>
      </c>
      <c r="B384" s="4" t="s">
        <v>173</v>
      </c>
      <c r="C384" s="4" t="s">
        <v>420</v>
      </c>
      <c r="D384" s="15" t="s">
        <v>93</v>
      </c>
      <c r="E384" s="15">
        <v>0.25</v>
      </c>
      <c r="AU384" s="43"/>
      <c r="AX384" s="15" t="s">
        <v>86</v>
      </c>
    </row>
    <row r="385">
      <c r="A385" s="40">
        <v>46076.0</v>
      </c>
      <c r="B385" s="4" t="s">
        <v>346</v>
      </c>
      <c r="C385" s="4" t="s">
        <v>194</v>
      </c>
      <c r="D385" s="15" t="s">
        <v>53</v>
      </c>
      <c r="E385" s="15">
        <v>0.5</v>
      </c>
      <c r="AU385" s="43"/>
      <c r="AX385" s="15" t="s">
        <v>86</v>
      </c>
    </row>
    <row r="386">
      <c r="A386" s="40">
        <v>46076.0</v>
      </c>
      <c r="B386" s="4" t="s">
        <v>1272</v>
      </c>
      <c r="C386" s="4" t="s">
        <v>259</v>
      </c>
      <c r="D386" s="15" t="s">
        <v>314</v>
      </c>
      <c r="E386" s="15">
        <v>1.0</v>
      </c>
      <c r="AU386" s="43"/>
      <c r="AX386" s="15" t="s">
        <v>86</v>
      </c>
    </row>
    <row r="387">
      <c r="A387" s="40">
        <v>46076.0</v>
      </c>
      <c r="B387" s="4" t="s">
        <v>176</v>
      </c>
      <c r="C387" s="4" t="s">
        <v>194</v>
      </c>
      <c r="D387" s="15" t="s">
        <v>93</v>
      </c>
      <c r="E387" s="15">
        <v>0.5</v>
      </c>
      <c r="AU387" s="43"/>
      <c r="AX387" s="15" t="s">
        <v>86</v>
      </c>
    </row>
    <row r="388">
      <c r="A388" s="40">
        <v>46076.0</v>
      </c>
      <c r="B388" s="4" t="s">
        <v>58</v>
      </c>
      <c r="C388" s="4" t="s">
        <v>259</v>
      </c>
      <c r="D388" s="15" t="s">
        <v>38</v>
      </c>
      <c r="E388" s="15">
        <v>1.0</v>
      </c>
      <c r="AU388" s="43"/>
      <c r="AX388" s="15" t="s">
        <v>86</v>
      </c>
    </row>
    <row r="389">
      <c r="A389" s="40">
        <v>46076.0</v>
      </c>
      <c r="B389" s="4" t="s">
        <v>1305</v>
      </c>
      <c r="C389" s="4" t="s">
        <v>194</v>
      </c>
      <c r="D389" s="15" t="s">
        <v>314</v>
      </c>
      <c r="E389" s="15">
        <v>0.5</v>
      </c>
      <c r="AU389" s="43"/>
      <c r="AX389" s="15" t="s">
        <v>86</v>
      </c>
    </row>
    <row r="390">
      <c r="A390" s="40">
        <v>46076.0</v>
      </c>
      <c r="B390" s="4" t="s">
        <v>1348</v>
      </c>
      <c r="C390" s="4" t="s">
        <v>194</v>
      </c>
      <c r="D390" s="15" t="s">
        <v>314</v>
      </c>
      <c r="E390" s="15">
        <v>0.5</v>
      </c>
      <c r="AU390" s="43"/>
      <c r="AX390" s="15" t="s">
        <v>86</v>
      </c>
    </row>
    <row r="391">
      <c r="A391" s="40">
        <v>46076.0</v>
      </c>
      <c r="B391" s="4" t="s">
        <v>176</v>
      </c>
      <c r="C391" s="4" t="s">
        <v>194</v>
      </c>
      <c r="D391" s="15" t="s">
        <v>93</v>
      </c>
      <c r="E391" s="15">
        <v>0.5</v>
      </c>
      <c r="AU391" s="43"/>
      <c r="AX391" s="15" t="s">
        <v>86</v>
      </c>
    </row>
    <row r="392">
      <c r="A392" s="40">
        <v>46076.0</v>
      </c>
      <c r="B392" s="4" t="s">
        <v>1348</v>
      </c>
      <c r="C392" s="4" t="s">
        <v>194</v>
      </c>
      <c r="D392" s="15" t="s">
        <v>314</v>
      </c>
      <c r="E392" s="15">
        <v>0.5</v>
      </c>
      <c r="AU392" s="43"/>
      <c r="AX392" s="15" t="s">
        <v>86</v>
      </c>
    </row>
    <row r="393">
      <c r="A393" s="40">
        <v>46076.0</v>
      </c>
      <c r="B393" s="4" t="s">
        <v>218</v>
      </c>
      <c r="C393" s="4" t="s">
        <v>286</v>
      </c>
      <c r="D393" s="15" t="s">
        <v>53</v>
      </c>
      <c r="E393" s="15">
        <v>0.75</v>
      </c>
      <c r="AU393" s="43"/>
      <c r="AX393" s="15" t="s">
        <v>86</v>
      </c>
    </row>
    <row r="394">
      <c r="A394" s="40">
        <v>46076.0</v>
      </c>
      <c r="B394" s="4" t="s">
        <v>196</v>
      </c>
      <c r="C394" s="4" t="s">
        <v>286</v>
      </c>
      <c r="D394" s="15" t="s">
        <v>93</v>
      </c>
      <c r="E394" s="15">
        <v>0.75</v>
      </c>
      <c r="AU394" s="43"/>
      <c r="AX394" s="15" t="s">
        <v>86</v>
      </c>
    </row>
    <row r="395">
      <c r="A395" s="40">
        <v>46077.0</v>
      </c>
      <c r="B395" s="4" t="s">
        <v>205</v>
      </c>
      <c r="C395" s="4" t="s">
        <v>259</v>
      </c>
      <c r="D395" s="15" t="s">
        <v>53</v>
      </c>
      <c r="E395" s="15">
        <v>1.0</v>
      </c>
      <c r="AU395" s="43"/>
      <c r="AX395" s="15" t="s">
        <v>86</v>
      </c>
    </row>
    <row r="396">
      <c r="A396" s="40">
        <v>46077.0</v>
      </c>
      <c r="B396" s="4" t="s">
        <v>58</v>
      </c>
      <c r="C396" s="4" t="s">
        <v>194</v>
      </c>
      <c r="D396" s="15" t="s">
        <v>38</v>
      </c>
      <c r="E396" s="15">
        <v>0.5</v>
      </c>
      <c r="AU396" s="43"/>
      <c r="AX396" s="15" t="s">
        <v>86</v>
      </c>
    </row>
    <row r="397">
      <c r="A397" s="40">
        <v>46077.0</v>
      </c>
      <c r="B397" s="4" t="s">
        <v>58</v>
      </c>
      <c r="C397" s="4" t="s">
        <v>194</v>
      </c>
      <c r="D397" s="15" t="s">
        <v>38</v>
      </c>
      <c r="E397" s="15">
        <v>0.5</v>
      </c>
      <c r="AU397" s="43"/>
      <c r="AX397" s="15" t="s">
        <v>86</v>
      </c>
    </row>
    <row r="398">
      <c r="A398" s="40">
        <v>46077.0</v>
      </c>
      <c r="B398" s="4" t="s">
        <v>173</v>
      </c>
      <c r="C398" s="4" t="s">
        <v>420</v>
      </c>
      <c r="D398" s="15" t="s">
        <v>93</v>
      </c>
      <c r="E398" s="15">
        <v>0.25</v>
      </c>
      <c r="AU398" s="43"/>
      <c r="AX398" s="15" t="s">
        <v>86</v>
      </c>
    </row>
    <row r="399">
      <c r="A399" s="40">
        <v>46077.0</v>
      </c>
      <c r="B399" s="4" t="s">
        <v>196</v>
      </c>
      <c r="C399" s="4" t="s">
        <v>194</v>
      </c>
      <c r="D399" s="15" t="s">
        <v>93</v>
      </c>
      <c r="E399" s="15">
        <v>0.5</v>
      </c>
      <c r="AU399" s="43"/>
      <c r="AX399" s="15" t="s">
        <v>86</v>
      </c>
    </row>
    <row r="400">
      <c r="A400" s="40">
        <v>46077.0</v>
      </c>
      <c r="B400" s="4" t="s">
        <v>170</v>
      </c>
      <c r="C400" s="4" t="s">
        <v>194</v>
      </c>
      <c r="D400" s="15" t="s">
        <v>93</v>
      </c>
      <c r="E400" s="15">
        <v>0.5</v>
      </c>
      <c r="AU400" s="43"/>
      <c r="AX400" s="15" t="s">
        <v>86</v>
      </c>
    </row>
    <row r="401">
      <c r="A401" s="40">
        <v>46077.0</v>
      </c>
      <c r="B401" s="4" t="s">
        <v>31</v>
      </c>
      <c r="C401" s="4" t="s">
        <v>291</v>
      </c>
      <c r="D401" s="15" t="s">
        <v>38</v>
      </c>
      <c r="E401" s="15">
        <v>1.5</v>
      </c>
      <c r="AU401" s="43"/>
      <c r="AX401" s="15" t="s">
        <v>86</v>
      </c>
    </row>
    <row r="402">
      <c r="A402" s="40">
        <v>46077.0</v>
      </c>
      <c r="B402" s="4" t="s">
        <v>251</v>
      </c>
      <c r="C402" s="4" t="s">
        <v>259</v>
      </c>
      <c r="D402" s="15" t="s">
        <v>53</v>
      </c>
      <c r="E402" s="15">
        <v>1.0</v>
      </c>
      <c r="AU402" s="43"/>
      <c r="AX402" s="15" t="s">
        <v>86</v>
      </c>
    </row>
    <row r="403">
      <c r="A403" s="40">
        <v>46077.0</v>
      </c>
      <c r="B403" s="4" t="s">
        <v>170</v>
      </c>
      <c r="C403" s="4" t="s">
        <v>259</v>
      </c>
      <c r="D403" s="15" t="s">
        <v>93</v>
      </c>
      <c r="E403" s="15">
        <v>1.0</v>
      </c>
      <c r="AU403" s="43"/>
      <c r="AX403" s="15" t="s">
        <v>86</v>
      </c>
    </row>
    <row r="404">
      <c r="A404" s="40">
        <v>46077.0</v>
      </c>
      <c r="B404" s="4" t="s">
        <v>58</v>
      </c>
      <c r="C404" s="4" t="s">
        <v>259</v>
      </c>
      <c r="D404" s="15" t="s">
        <v>38</v>
      </c>
      <c r="E404" s="15">
        <v>1.0</v>
      </c>
      <c r="AU404" s="43"/>
      <c r="AX404" s="15" t="s">
        <v>86</v>
      </c>
    </row>
    <row r="405">
      <c r="A405" s="40">
        <v>46077.0</v>
      </c>
      <c r="B405" s="4" t="s">
        <v>224</v>
      </c>
      <c r="C405" s="4" t="s">
        <v>1669</v>
      </c>
      <c r="D405" s="15" t="s">
        <v>53</v>
      </c>
      <c r="E405" s="15">
        <v>1.25</v>
      </c>
      <c r="AU405" s="43"/>
      <c r="AX405" s="15" t="s">
        <v>86</v>
      </c>
    </row>
    <row r="406">
      <c r="A406" s="40">
        <v>46077.0</v>
      </c>
      <c r="B406" s="4" t="s">
        <v>1348</v>
      </c>
      <c r="C406" s="4" t="s">
        <v>259</v>
      </c>
      <c r="D406" s="15" t="s">
        <v>314</v>
      </c>
      <c r="E406" s="15">
        <v>1.0</v>
      </c>
      <c r="AU406" s="43"/>
      <c r="AX406" s="15" t="s">
        <v>86</v>
      </c>
    </row>
    <row r="407">
      <c r="A407" s="40">
        <v>46078.0</v>
      </c>
      <c r="B407" s="4" t="s">
        <v>205</v>
      </c>
      <c r="C407" s="4" t="s">
        <v>259</v>
      </c>
      <c r="D407" s="15" t="s">
        <v>53</v>
      </c>
      <c r="E407" s="15">
        <v>1.0</v>
      </c>
      <c r="AU407" s="43"/>
      <c r="AX407" s="15" t="s">
        <v>86</v>
      </c>
    </row>
    <row r="408">
      <c r="A408" s="40">
        <v>46078.0</v>
      </c>
      <c r="B408" s="4" t="s">
        <v>58</v>
      </c>
      <c r="C408" s="4" t="s">
        <v>194</v>
      </c>
      <c r="D408" s="15" t="s">
        <v>38</v>
      </c>
      <c r="E408" s="15">
        <v>0.5</v>
      </c>
      <c r="AU408" s="43"/>
      <c r="AX408" s="15" t="s">
        <v>86</v>
      </c>
    </row>
    <row r="409">
      <c r="A409" s="40">
        <v>46078.0</v>
      </c>
      <c r="B409" s="4" t="s">
        <v>58</v>
      </c>
      <c r="C409" s="4" t="s">
        <v>194</v>
      </c>
      <c r="D409" s="15" t="s">
        <v>38</v>
      </c>
      <c r="E409" s="15">
        <v>0.5</v>
      </c>
      <c r="AU409" s="43"/>
      <c r="AX409" s="15" t="s">
        <v>86</v>
      </c>
    </row>
    <row r="410">
      <c r="A410" s="40">
        <v>46078.0</v>
      </c>
      <c r="B410" s="4" t="s">
        <v>1348</v>
      </c>
      <c r="C410" s="4" t="s">
        <v>259</v>
      </c>
      <c r="D410" s="15" t="s">
        <v>314</v>
      </c>
      <c r="E410" s="15">
        <v>1.0</v>
      </c>
      <c r="AU410" s="43"/>
      <c r="AX410" s="15" t="s">
        <v>86</v>
      </c>
    </row>
    <row r="411">
      <c r="A411" s="40">
        <v>46078.0</v>
      </c>
      <c r="B411" s="4" t="s">
        <v>637</v>
      </c>
      <c r="C411" s="4" t="s">
        <v>194</v>
      </c>
      <c r="D411" s="15" t="s">
        <v>53</v>
      </c>
      <c r="E411" s="15">
        <v>0.5</v>
      </c>
      <c r="AU411" s="43"/>
      <c r="AX411" s="15" t="s">
        <v>86</v>
      </c>
    </row>
    <row r="412">
      <c r="A412" s="40">
        <v>46078.0</v>
      </c>
      <c r="B412" s="4" t="s">
        <v>346</v>
      </c>
      <c r="C412" s="4" t="s">
        <v>194</v>
      </c>
      <c r="D412" s="15" t="s">
        <v>53</v>
      </c>
      <c r="E412" s="15">
        <v>0.5</v>
      </c>
      <c r="AU412" s="43"/>
      <c r="AX412" s="15" t="s">
        <v>86</v>
      </c>
    </row>
    <row r="413">
      <c r="A413" s="40">
        <v>46078.0</v>
      </c>
      <c r="B413" s="4" t="s">
        <v>224</v>
      </c>
      <c r="C413" s="4" t="s">
        <v>286</v>
      </c>
      <c r="D413" s="15" t="s">
        <v>53</v>
      </c>
      <c r="E413" s="15">
        <v>0.75</v>
      </c>
      <c r="AU413" s="43"/>
      <c r="AX413" s="15" t="s">
        <v>86</v>
      </c>
    </row>
    <row r="414">
      <c r="A414" s="40">
        <v>46078.0</v>
      </c>
      <c r="B414" s="4" t="s">
        <v>1348</v>
      </c>
      <c r="C414" s="4" t="s">
        <v>259</v>
      </c>
      <c r="D414" s="15" t="s">
        <v>314</v>
      </c>
      <c r="E414" s="15">
        <v>1.0</v>
      </c>
      <c r="AU414" s="43"/>
      <c r="AX414" s="15" t="s">
        <v>86</v>
      </c>
    </row>
    <row r="415">
      <c r="A415" s="40">
        <v>46079.0</v>
      </c>
      <c r="B415" s="4" t="s">
        <v>189</v>
      </c>
      <c r="C415" s="4" t="s">
        <v>259</v>
      </c>
      <c r="D415" s="15" t="s">
        <v>93</v>
      </c>
      <c r="E415" s="15">
        <v>1.0</v>
      </c>
      <c r="AU415" s="43"/>
      <c r="AX415" s="15" t="s">
        <v>86</v>
      </c>
    </row>
    <row r="416">
      <c r="A416" s="40">
        <v>46079.0</v>
      </c>
      <c r="B416" s="4" t="s">
        <v>173</v>
      </c>
      <c r="C416" s="4" t="s">
        <v>420</v>
      </c>
      <c r="D416" s="15" t="s">
        <v>93</v>
      </c>
      <c r="E416" s="15">
        <v>0.25</v>
      </c>
      <c r="AU416" s="43"/>
      <c r="AX416" s="15" t="s">
        <v>86</v>
      </c>
    </row>
    <row r="417">
      <c r="A417" s="40">
        <v>46079.0</v>
      </c>
      <c r="B417" s="4" t="s">
        <v>173</v>
      </c>
      <c r="C417" s="4" t="s">
        <v>194</v>
      </c>
      <c r="D417" s="15" t="s">
        <v>93</v>
      </c>
      <c r="E417" s="15">
        <v>0.5</v>
      </c>
      <c r="AU417" s="43"/>
      <c r="AX417" s="15" t="s">
        <v>86</v>
      </c>
    </row>
    <row r="418">
      <c r="A418" s="40">
        <v>46079.0</v>
      </c>
      <c r="B418" s="4" t="s">
        <v>173</v>
      </c>
      <c r="C418" s="4" t="s">
        <v>194</v>
      </c>
      <c r="D418" s="15" t="s">
        <v>93</v>
      </c>
      <c r="E418" s="15">
        <v>0.5</v>
      </c>
      <c r="AU418" s="43"/>
      <c r="AX418" s="15" t="s">
        <v>86</v>
      </c>
    </row>
    <row r="419">
      <c r="A419" s="40">
        <v>46079.0</v>
      </c>
      <c r="B419" s="4" t="s">
        <v>1348</v>
      </c>
      <c r="C419" s="4" t="s">
        <v>259</v>
      </c>
      <c r="D419" s="15" t="s">
        <v>314</v>
      </c>
      <c r="E419" s="15">
        <v>1.0</v>
      </c>
      <c r="AU419" s="43"/>
      <c r="AX419" s="15" t="s">
        <v>86</v>
      </c>
    </row>
    <row r="420">
      <c r="A420" s="40">
        <v>46079.0</v>
      </c>
      <c r="B420" s="4" t="s">
        <v>1305</v>
      </c>
      <c r="C420" s="4" t="s">
        <v>194</v>
      </c>
      <c r="D420" s="15" t="s">
        <v>314</v>
      </c>
      <c r="E420" s="15">
        <v>0.5</v>
      </c>
      <c r="AU420" s="43"/>
      <c r="AX420" s="15" t="s">
        <v>86</v>
      </c>
    </row>
    <row r="421">
      <c r="A421" s="40">
        <v>46079.0</v>
      </c>
      <c r="B421" s="4" t="s">
        <v>58</v>
      </c>
      <c r="C421" s="4" t="s">
        <v>259</v>
      </c>
      <c r="D421" s="15" t="s">
        <v>38</v>
      </c>
      <c r="E421" s="15">
        <v>1.0</v>
      </c>
      <c r="AU421" s="43"/>
      <c r="AX421" s="15" t="s">
        <v>86</v>
      </c>
    </row>
    <row r="422">
      <c r="A422" s="40">
        <v>46079.0</v>
      </c>
      <c r="B422" s="4" t="s">
        <v>212</v>
      </c>
      <c r="C422" s="4" t="s">
        <v>194</v>
      </c>
      <c r="D422" s="15" t="s">
        <v>53</v>
      </c>
      <c r="E422" s="15">
        <v>0.5</v>
      </c>
      <c r="AU422" s="43"/>
      <c r="AX422" s="15" t="s">
        <v>86</v>
      </c>
    </row>
    <row r="423">
      <c r="A423" s="40">
        <v>46079.0</v>
      </c>
      <c r="B423" s="4" t="s">
        <v>58</v>
      </c>
      <c r="C423" s="4" t="s">
        <v>194</v>
      </c>
      <c r="D423" s="15" t="s">
        <v>38</v>
      </c>
      <c r="E423" s="15">
        <v>0.5</v>
      </c>
      <c r="AU423" s="43"/>
      <c r="AX423" s="15" t="s">
        <v>86</v>
      </c>
    </row>
    <row r="424">
      <c r="A424" s="40">
        <v>46079.0</v>
      </c>
      <c r="B424" s="4" t="s">
        <v>637</v>
      </c>
      <c r="C424" s="4" t="s">
        <v>194</v>
      </c>
      <c r="D424" s="15" t="s">
        <v>53</v>
      </c>
      <c r="E424" s="15">
        <v>0.5</v>
      </c>
      <c r="AU424" s="43"/>
      <c r="AX424" s="15" t="s">
        <v>86</v>
      </c>
    </row>
    <row r="425">
      <c r="A425" s="40">
        <v>46079.0</v>
      </c>
      <c r="B425" s="4" t="s">
        <v>31</v>
      </c>
      <c r="C425" s="4" t="s">
        <v>194</v>
      </c>
      <c r="D425" s="15" t="s">
        <v>38</v>
      </c>
      <c r="E425" s="15">
        <v>0.5</v>
      </c>
      <c r="AU425" s="43"/>
      <c r="AX425" s="15" t="s">
        <v>86</v>
      </c>
    </row>
    <row r="426">
      <c r="A426" s="40">
        <v>46079.0</v>
      </c>
      <c r="B426" s="4" t="s">
        <v>58</v>
      </c>
      <c r="C426" s="4" t="s">
        <v>194</v>
      </c>
      <c r="D426" s="15" t="s">
        <v>38</v>
      </c>
      <c r="E426" s="15">
        <v>0.5</v>
      </c>
      <c r="AU426" s="43"/>
      <c r="AX426" s="15" t="s">
        <v>86</v>
      </c>
    </row>
    <row r="427">
      <c r="A427" s="40">
        <v>46079.0</v>
      </c>
      <c r="B427" s="4" t="s">
        <v>170</v>
      </c>
      <c r="C427" s="4" t="s">
        <v>194</v>
      </c>
      <c r="D427" s="15" t="s">
        <v>93</v>
      </c>
      <c r="E427" s="15">
        <v>0.5</v>
      </c>
      <c r="AU427" s="43"/>
      <c r="AX427" s="15" t="s">
        <v>86</v>
      </c>
    </row>
    <row r="428">
      <c r="A428" s="40">
        <v>46080.0</v>
      </c>
      <c r="B428" s="4" t="s">
        <v>205</v>
      </c>
      <c r="C428" s="4" t="s">
        <v>259</v>
      </c>
      <c r="D428" s="15" t="s">
        <v>53</v>
      </c>
      <c r="E428" s="15">
        <v>1.0</v>
      </c>
      <c r="AU428" s="43"/>
      <c r="AX428" s="15" t="s">
        <v>86</v>
      </c>
    </row>
    <row r="429">
      <c r="A429" s="40">
        <v>46080.0</v>
      </c>
      <c r="B429" s="4" t="s">
        <v>173</v>
      </c>
      <c r="C429" s="4" t="s">
        <v>194</v>
      </c>
      <c r="D429" s="15" t="s">
        <v>93</v>
      </c>
      <c r="E429" s="15">
        <v>0.5</v>
      </c>
      <c r="AU429" s="43"/>
      <c r="AX429" s="15" t="s">
        <v>86</v>
      </c>
    </row>
    <row r="430">
      <c r="A430" s="40">
        <v>46080.0</v>
      </c>
      <c r="B430" s="4" t="s">
        <v>196</v>
      </c>
      <c r="C430" s="4" t="s">
        <v>259</v>
      </c>
      <c r="D430" s="15" t="s">
        <v>93</v>
      </c>
      <c r="E430" s="15">
        <v>1.0</v>
      </c>
      <c r="AU430" s="43"/>
      <c r="AX430" s="15" t="s">
        <v>86</v>
      </c>
    </row>
    <row r="431">
      <c r="A431" s="40">
        <v>46080.0</v>
      </c>
      <c r="B431" s="4" t="s">
        <v>196</v>
      </c>
      <c r="C431" s="4" t="s">
        <v>420</v>
      </c>
      <c r="D431" s="15" t="s">
        <v>93</v>
      </c>
      <c r="E431" s="15">
        <v>0.25</v>
      </c>
      <c r="AU431" s="43"/>
      <c r="AX431" s="15" t="s">
        <v>86</v>
      </c>
    </row>
    <row r="432">
      <c r="A432" s="40">
        <v>46080.0</v>
      </c>
      <c r="B432" s="4" t="s">
        <v>196</v>
      </c>
      <c r="C432" s="4" t="s">
        <v>259</v>
      </c>
      <c r="D432" s="15" t="s">
        <v>93</v>
      </c>
      <c r="E432" s="15">
        <v>1.0</v>
      </c>
      <c r="AU432" s="43"/>
      <c r="AX432" s="15" t="s">
        <v>86</v>
      </c>
    </row>
    <row r="433">
      <c r="A433" s="40">
        <v>46080.0</v>
      </c>
      <c r="B433" s="4" t="s">
        <v>58</v>
      </c>
      <c r="C433" s="4" t="s">
        <v>194</v>
      </c>
      <c r="D433" s="15" t="s">
        <v>38</v>
      </c>
      <c r="E433" s="15">
        <v>0.5</v>
      </c>
      <c r="AU433" s="43"/>
      <c r="AX433" s="15" t="s">
        <v>86</v>
      </c>
    </row>
    <row r="434">
      <c r="A434" s="40">
        <v>46080.0</v>
      </c>
      <c r="B434" s="4" t="s">
        <v>637</v>
      </c>
      <c r="C434" s="4" t="s">
        <v>194</v>
      </c>
      <c r="D434" s="15" t="s">
        <v>53</v>
      </c>
      <c r="E434" s="15">
        <v>0.5</v>
      </c>
      <c r="AU434" s="43"/>
      <c r="AX434" s="15" t="s">
        <v>86</v>
      </c>
    </row>
    <row r="435">
      <c r="A435" s="40">
        <v>46080.0</v>
      </c>
      <c r="B435" s="4" t="s">
        <v>196</v>
      </c>
      <c r="C435" s="4" t="s">
        <v>259</v>
      </c>
      <c r="D435" s="15" t="s">
        <v>93</v>
      </c>
      <c r="E435" s="15">
        <v>1.0</v>
      </c>
      <c r="AU435" s="43"/>
      <c r="AX435" s="15" t="s">
        <v>86</v>
      </c>
    </row>
    <row r="436">
      <c r="A436" s="40">
        <v>46080.0</v>
      </c>
      <c r="B436" s="4" t="s">
        <v>170</v>
      </c>
      <c r="C436" s="4" t="s">
        <v>259</v>
      </c>
      <c r="D436" s="15" t="s">
        <v>93</v>
      </c>
      <c r="E436" s="15">
        <v>1.0</v>
      </c>
      <c r="AU436" s="43"/>
      <c r="AX436" s="15" t="s">
        <v>86</v>
      </c>
    </row>
    <row r="437">
      <c r="A437" s="40">
        <v>46080.0</v>
      </c>
      <c r="B437" s="4" t="s">
        <v>196</v>
      </c>
      <c r="C437" s="4" t="s">
        <v>194</v>
      </c>
      <c r="D437" s="15" t="s">
        <v>93</v>
      </c>
      <c r="E437" s="15">
        <v>0.5</v>
      </c>
      <c r="AU437" s="43"/>
      <c r="AX437" s="15" t="s">
        <v>86</v>
      </c>
    </row>
    <row r="438">
      <c r="A438" s="40">
        <v>46080.0</v>
      </c>
      <c r="B438" s="4" t="s">
        <v>221</v>
      </c>
      <c r="C438" s="4" t="s">
        <v>194</v>
      </c>
      <c r="D438" s="15" t="s">
        <v>53</v>
      </c>
      <c r="E438" s="15">
        <v>0.5</v>
      </c>
      <c r="AU438" s="43"/>
      <c r="AX438" s="15" t="s">
        <v>86</v>
      </c>
    </row>
    <row r="439">
      <c r="A439" s="40">
        <v>46080.0</v>
      </c>
      <c r="B439" s="4" t="s">
        <v>196</v>
      </c>
      <c r="C439" s="4" t="s">
        <v>286</v>
      </c>
      <c r="D439" s="15" t="s">
        <v>93</v>
      </c>
      <c r="E439" s="15">
        <v>0.75</v>
      </c>
      <c r="AU439" s="43"/>
      <c r="AX439" s="15" t="s">
        <v>86</v>
      </c>
    </row>
    <row r="440">
      <c r="A440" s="40">
        <v>46083.0</v>
      </c>
      <c r="B440" s="4" t="s">
        <v>205</v>
      </c>
      <c r="C440" s="4" t="s">
        <v>194</v>
      </c>
      <c r="D440" s="15" t="s">
        <v>53</v>
      </c>
      <c r="E440" s="15">
        <v>0.5</v>
      </c>
      <c r="AU440" s="43"/>
      <c r="AX440" s="15" t="s">
        <v>86</v>
      </c>
    </row>
    <row r="441">
      <c r="A441" s="40">
        <v>46083.0</v>
      </c>
      <c r="B441" s="4" t="s">
        <v>196</v>
      </c>
      <c r="C441" s="4" t="s">
        <v>194</v>
      </c>
      <c r="D441" s="15" t="s">
        <v>93</v>
      </c>
      <c r="E441" s="15">
        <v>0.5</v>
      </c>
      <c r="AU441" s="43"/>
      <c r="AX441" s="15" t="s">
        <v>86</v>
      </c>
    </row>
    <row r="442">
      <c r="A442" s="40">
        <v>46083.0</v>
      </c>
      <c r="B442" s="4" t="s">
        <v>170</v>
      </c>
      <c r="C442" s="4" t="s">
        <v>420</v>
      </c>
      <c r="D442" s="15" t="s">
        <v>93</v>
      </c>
      <c r="E442" s="15">
        <v>0.25</v>
      </c>
      <c r="AU442" s="43"/>
      <c r="AX442" s="15" t="s">
        <v>86</v>
      </c>
    </row>
    <row r="443">
      <c r="A443" s="40">
        <v>46083.0</v>
      </c>
      <c r="B443" s="4" t="s">
        <v>196</v>
      </c>
      <c r="C443" s="4" t="s">
        <v>194</v>
      </c>
      <c r="D443" s="15" t="s">
        <v>93</v>
      </c>
      <c r="E443" s="15">
        <v>0.5</v>
      </c>
      <c r="AU443" s="43"/>
      <c r="AX443" s="15" t="s">
        <v>86</v>
      </c>
    </row>
    <row r="444">
      <c r="A444" s="40">
        <v>46083.0</v>
      </c>
      <c r="B444" s="4" t="s">
        <v>48</v>
      </c>
      <c r="C444" s="4" t="s">
        <v>259</v>
      </c>
      <c r="D444" s="15" t="s">
        <v>38</v>
      </c>
      <c r="E444" s="15">
        <v>1.0</v>
      </c>
      <c r="AU444" s="43"/>
      <c r="AX444" s="15" t="s">
        <v>86</v>
      </c>
    </row>
    <row r="445">
      <c r="A445" s="40">
        <v>46083.0</v>
      </c>
      <c r="B445" s="4" t="s">
        <v>1253</v>
      </c>
      <c r="C445" s="4" t="s">
        <v>259</v>
      </c>
      <c r="D445" s="15" t="s">
        <v>314</v>
      </c>
      <c r="E445" s="15">
        <v>1.0</v>
      </c>
      <c r="AU445" s="43"/>
      <c r="AX445" s="15" t="s">
        <v>86</v>
      </c>
    </row>
    <row r="446">
      <c r="A446" s="40">
        <v>46083.0</v>
      </c>
      <c r="B446" s="4" t="s">
        <v>1272</v>
      </c>
      <c r="C446" s="4" t="s">
        <v>194</v>
      </c>
      <c r="D446" s="15" t="s">
        <v>314</v>
      </c>
      <c r="E446" s="15">
        <v>0.5</v>
      </c>
      <c r="AU446" s="43"/>
      <c r="AX446" s="15" t="s">
        <v>86</v>
      </c>
    </row>
    <row r="447">
      <c r="A447" s="40">
        <v>46083.0</v>
      </c>
      <c r="B447" s="4" t="s">
        <v>31</v>
      </c>
      <c r="C447" s="4" t="s">
        <v>259</v>
      </c>
      <c r="D447" s="15" t="s">
        <v>38</v>
      </c>
      <c r="E447" s="15">
        <v>1.0</v>
      </c>
      <c r="AU447" s="43"/>
      <c r="AX447" s="15" t="s">
        <v>86</v>
      </c>
    </row>
    <row r="448">
      <c r="A448" s="40">
        <v>46083.0</v>
      </c>
      <c r="B448" s="4" t="s">
        <v>31</v>
      </c>
      <c r="C448" s="4" t="s">
        <v>194</v>
      </c>
      <c r="D448" s="15" t="s">
        <v>38</v>
      </c>
      <c r="E448" s="15">
        <v>0.5</v>
      </c>
      <c r="AU448" s="43"/>
      <c r="AX448" s="15" t="s">
        <v>86</v>
      </c>
    </row>
    <row r="449">
      <c r="A449" s="40">
        <v>46083.0</v>
      </c>
      <c r="B449" s="4" t="s">
        <v>649</v>
      </c>
      <c r="C449" s="4" t="s">
        <v>194</v>
      </c>
      <c r="D449" s="15" t="s">
        <v>53</v>
      </c>
      <c r="E449" s="15">
        <v>0.5</v>
      </c>
      <c r="AU449" s="43"/>
      <c r="AX449" s="15" t="s">
        <v>86</v>
      </c>
    </row>
    <row r="450">
      <c r="A450" s="40">
        <v>46083.0</v>
      </c>
      <c r="B450" s="4" t="s">
        <v>208</v>
      </c>
      <c r="C450" s="4" t="s">
        <v>259</v>
      </c>
      <c r="D450" s="15" t="s">
        <v>53</v>
      </c>
      <c r="E450" s="15">
        <v>1.0</v>
      </c>
      <c r="AU450" s="43"/>
      <c r="AX450" s="15" t="s">
        <v>86</v>
      </c>
    </row>
    <row r="451">
      <c r="A451" s="40">
        <v>46083.0</v>
      </c>
      <c r="B451" s="4" t="s">
        <v>212</v>
      </c>
      <c r="C451" s="4" t="s">
        <v>194</v>
      </c>
      <c r="D451" s="15" t="s">
        <v>53</v>
      </c>
      <c r="E451" s="15">
        <v>0.5</v>
      </c>
      <c r="AU451" s="43"/>
      <c r="AX451" s="15" t="s">
        <v>86</v>
      </c>
    </row>
    <row r="452">
      <c r="A452" s="40">
        <v>46084.0</v>
      </c>
      <c r="B452" s="4" t="s">
        <v>205</v>
      </c>
      <c r="C452" s="4" t="s">
        <v>194</v>
      </c>
      <c r="D452" s="15" t="s">
        <v>53</v>
      </c>
      <c r="E452" s="15">
        <v>0.5</v>
      </c>
      <c r="AU452" s="43"/>
      <c r="AX452" s="15" t="s">
        <v>86</v>
      </c>
    </row>
    <row r="453">
      <c r="A453" s="40">
        <v>46084.0</v>
      </c>
      <c r="B453" s="4" t="s">
        <v>31</v>
      </c>
      <c r="C453" s="4" t="s">
        <v>194</v>
      </c>
      <c r="D453" s="15" t="s">
        <v>38</v>
      </c>
      <c r="E453" s="15">
        <v>0.5</v>
      </c>
      <c r="AU453" s="43"/>
      <c r="AX453" s="15" t="s">
        <v>86</v>
      </c>
    </row>
    <row r="454">
      <c r="A454" s="40">
        <v>46084.0</v>
      </c>
      <c r="B454" s="4" t="s">
        <v>58</v>
      </c>
      <c r="C454" s="4" t="s">
        <v>194</v>
      </c>
      <c r="D454" s="15" t="s">
        <v>38</v>
      </c>
      <c r="E454" s="15">
        <v>0.5</v>
      </c>
      <c r="AU454" s="43"/>
      <c r="AX454" s="15" t="s">
        <v>86</v>
      </c>
    </row>
    <row r="455">
      <c r="A455" s="40">
        <v>46084.0</v>
      </c>
      <c r="B455" s="4" t="s">
        <v>196</v>
      </c>
      <c r="C455" s="4" t="s">
        <v>194</v>
      </c>
      <c r="D455" s="15" t="s">
        <v>93</v>
      </c>
      <c r="E455" s="15">
        <v>0.5</v>
      </c>
      <c r="AU455" s="43"/>
      <c r="AX455" s="15" t="s">
        <v>86</v>
      </c>
    </row>
    <row r="456">
      <c r="A456" s="40">
        <v>46084.0</v>
      </c>
      <c r="B456" s="4" t="s">
        <v>649</v>
      </c>
      <c r="C456" s="4" t="s">
        <v>194</v>
      </c>
      <c r="D456" s="15" t="s">
        <v>53</v>
      </c>
      <c r="E456" s="15">
        <v>0.5</v>
      </c>
      <c r="AU456" s="43"/>
      <c r="AX456" s="15" t="s">
        <v>86</v>
      </c>
    </row>
    <row r="457">
      <c r="A457" s="40">
        <v>46084.0</v>
      </c>
      <c r="B457" s="4" t="s">
        <v>212</v>
      </c>
      <c r="C457" s="4" t="s">
        <v>291</v>
      </c>
      <c r="D457" s="15" t="s">
        <v>53</v>
      </c>
      <c r="E457" s="15">
        <v>1.5</v>
      </c>
      <c r="AU457" s="43"/>
      <c r="AX457" s="15" t="s">
        <v>86</v>
      </c>
    </row>
    <row r="458">
      <c r="A458" s="40">
        <v>46084.0</v>
      </c>
      <c r="B458" s="4" t="s">
        <v>58</v>
      </c>
      <c r="C458" s="4" t="s">
        <v>194</v>
      </c>
      <c r="D458" s="15" t="s">
        <v>38</v>
      </c>
      <c r="E458" s="15">
        <v>0.5</v>
      </c>
      <c r="AU458" s="43"/>
      <c r="AX458" s="15" t="s">
        <v>86</v>
      </c>
    </row>
    <row r="459">
      <c r="A459" s="40">
        <v>46084.0</v>
      </c>
      <c r="B459" s="4" t="s">
        <v>173</v>
      </c>
      <c r="C459" s="4" t="s">
        <v>194</v>
      </c>
      <c r="D459" s="15" t="s">
        <v>93</v>
      </c>
      <c r="E459" s="15">
        <v>0.5</v>
      </c>
      <c r="AU459" s="43"/>
      <c r="AX459" s="15" t="s">
        <v>86</v>
      </c>
    </row>
    <row r="460">
      <c r="A460" s="40">
        <v>46084.0</v>
      </c>
      <c r="B460" s="4" t="s">
        <v>176</v>
      </c>
      <c r="C460" s="4" t="s">
        <v>259</v>
      </c>
      <c r="D460" s="15" t="s">
        <v>93</v>
      </c>
      <c r="E460" s="15">
        <v>1.0</v>
      </c>
      <c r="AU460" s="43"/>
      <c r="AX460" s="15" t="s">
        <v>86</v>
      </c>
    </row>
    <row r="461">
      <c r="A461" s="40">
        <v>46084.0</v>
      </c>
      <c r="B461" s="4" t="s">
        <v>48</v>
      </c>
      <c r="C461" s="4" t="s">
        <v>194</v>
      </c>
      <c r="D461" s="15" t="s">
        <v>38</v>
      </c>
      <c r="E461" s="15">
        <v>0.5</v>
      </c>
      <c r="AU461" s="43"/>
      <c r="AX461" s="15" t="s">
        <v>86</v>
      </c>
    </row>
    <row r="462">
      <c r="A462" s="40">
        <v>46084.0</v>
      </c>
      <c r="B462" s="4" t="s">
        <v>31</v>
      </c>
      <c r="C462" s="4" t="s">
        <v>259</v>
      </c>
      <c r="D462" s="15" t="s">
        <v>38</v>
      </c>
      <c r="E462" s="15">
        <v>1.0</v>
      </c>
      <c r="AU462" s="43"/>
      <c r="AX462" s="15" t="s">
        <v>86</v>
      </c>
    </row>
    <row r="463">
      <c r="A463" s="40">
        <v>46084.0</v>
      </c>
      <c r="B463" s="4" t="s">
        <v>1253</v>
      </c>
      <c r="C463" s="4" t="s">
        <v>259</v>
      </c>
      <c r="D463" s="15" t="s">
        <v>314</v>
      </c>
      <c r="E463" s="15">
        <v>1.0</v>
      </c>
      <c r="AU463" s="43"/>
      <c r="AX463" s="15" t="s">
        <v>86</v>
      </c>
    </row>
    <row r="464">
      <c r="A464" s="40">
        <v>46085.0</v>
      </c>
      <c r="B464" s="4" t="s">
        <v>189</v>
      </c>
      <c r="C464" s="4" t="s">
        <v>194</v>
      </c>
      <c r="D464" s="15" t="s">
        <v>93</v>
      </c>
      <c r="E464" s="15">
        <v>0.5</v>
      </c>
      <c r="AU464" s="43"/>
      <c r="AX464" s="15" t="s">
        <v>86</v>
      </c>
    </row>
    <row r="465">
      <c r="A465" s="40">
        <v>46085.0</v>
      </c>
      <c r="B465" s="4" t="s">
        <v>196</v>
      </c>
      <c r="C465" s="4" t="s">
        <v>259</v>
      </c>
      <c r="D465" s="15" t="s">
        <v>93</v>
      </c>
      <c r="E465" s="15">
        <v>1.0</v>
      </c>
      <c r="AU465" s="43"/>
      <c r="AX465" s="15" t="s">
        <v>86</v>
      </c>
    </row>
    <row r="466">
      <c r="A466" s="40">
        <v>46085.0</v>
      </c>
      <c r="B466" s="4" t="s">
        <v>173</v>
      </c>
      <c r="C466" s="4" t="s">
        <v>194</v>
      </c>
      <c r="D466" s="15" t="s">
        <v>93</v>
      </c>
      <c r="E466" s="15">
        <v>0.5</v>
      </c>
      <c r="AU466" s="43"/>
      <c r="AX466" s="15" t="s">
        <v>86</v>
      </c>
    </row>
    <row r="467">
      <c r="A467" s="40">
        <v>46085.0</v>
      </c>
      <c r="B467" s="4" t="s">
        <v>1305</v>
      </c>
      <c r="C467" s="4" t="s">
        <v>194</v>
      </c>
      <c r="D467" s="15" t="s">
        <v>314</v>
      </c>
      <c r="E467" s="15">
        <v>0.5</v>
      </c>
      <c r="AU467" s="43"/>
      <c r="AX467" s="15" t="s">
        <v>86</v>
      </c>
    </row>
    <row r="468">
      <c r="A468" s="40">
        <v>46085.0</v>
      </c>
      <c r="B468" s="4" t="s">
        <v>1272</v>
      </c>
      <c r="C468" s="4" t="s">
        <v>259</v>
      </c>
      <c r="D468" s="15" t="s">
        <v>314</v>
      </c>
      <c r="E468" s="15">
        <v>1.0</v>
      </c>
      <c r="AU468" s="43"/>
      <c r="AX468" s="15" t="s">
        <v>86</v>
      </c>
    </row>
    <row r="469">
      <c r="A469" s="40">
        <v>46085.0</v>
      </c>
      <c r="B469" s="4" t="s">
        <v>58</v>
      </c>
      <c r="C469" s="4" t="s">
        <v>194</v>
      </c>
      <c r="D469" s="15" t="s">
        <v>38</v>
      </c>
      <c r="E469" s="15">
        <v>0.5</v>
      </c>
      <c r="AU469" s="43"/>
      <c r="AX469" s="15" t="s">
        <v>86</v>
      </c>
    </row>
    <row r="470">
      <c r="A470" s="40">
        <v>46085.0</v>
      </c>
      <c r="B470" s="4" t="s">
        <v>31</v>
      </c>
      <c r="C470" s="4" t="s">
        <v>194</v>
      </c>
      <c r="D470" s="15" t="s">
        <v>38</v>
      </c>
      <c r="E470" s="15">
        <v>0.5</v>
      </c>
      <c r="AU470" s="43"/>
      <c r="AX470" s="15" t="s">
        <v>86</v>
      </c>
    </row>
    <row r="471">
      <c r="A471" s="40">
        <v>46085.0</v>
      </c>
      <c r="B471" s="4" t="s">
        <v>58</v>
      </c>
      <c r="C471" s="4" t="s">
        <v>259</v>
      </c>
      <c r="D471" s="15" t="s">
        <v>38</v>
      </c>
      <c r="E471" s="15">
        <v>1.0</v>
      </c>
      <c r="AU471" s="43"/>
      <c r="AX471" s="15" t="s">
        <v>86</v>
      </c>
    </row>
    <row r="472">
      <c r="A472" s="40">
        <v>46085.0</v>
      </c>
      <c r="B472" s="4" t="s">
        <v>31</v>
      </c>
      <c r="C472" s="4" t="s">
        <v>259</v>
      </c>
      <c r="D472" s="15" t="s">
        <v>38</v>
      </c>
      <c r="E472" s="15">
        <v>1.0</v>
      </c>
      <c r="AU472" s="43"/>
      <c r="AX472" s="15" t="s">
        <v>86</v>
      </c>
    </row>
    <row r="473">
      <c r="A473" s="40">
        <v>46085.0</v>
      </c>
      <c r="B473" s="4" t="s">
        <v>212</v>
      </c>
      <c r="C473" s="4" t="s">
        <v>259</v>
      </c>
      <c r="D473" s="15" t="s">
        <v>53</v>
      </c>
      <c r="E473" s="15">
        <v>1.0</v>
      </c>
      <c r="AU473" s="43"/>
      <c r="AX473" s="15" t="s">
        <v>86</v>
      </c>
    </row>
    <row r="474">
      <c r="A474" s="40">
        <v>46085.0</v>
      </c>
      <c r="B474" s="4" t="s">
        <v>208</v>
      </c>
      <c r="C474" s="4" t="s">
        <v>291</v>
      </c>
      <c r="D474" s="15" t="s">
        <v>53</v>
      </c>
      <c r="E474" s="15">
        <v>1.5</v>
      </c>
      <c r="AU474" s="43"/>
      <c r="AX474" s="15" t="s">
        <v>86</v>
      </c>
    </row>
    <row r="475">
      <c r="A475" s="40">
        <v>46086.0</v>
      </c>
      <c r="B475" s="4" t="s">
        <v>205</v>
      </c>
      <c r="C475" s="4" t="s">
        <v>194</v>
      </c>
      <c r="D475" s="15" t="s">
        <v>53</v>
      </c>
      <c r="E475" s="15">
        <v>0.5</v>
      </c>
      <c r="AU475" s="43"/>
      <c r="AX475" s="15" t="s">
        <v>86</v>
      </c>
    </row>
    <row r="476">
      <c r="A476" s="40">
        <v>46086.0</v>
      </c>
      <c r="B476" s="4" t="s">
        <v>212</v>
      </c>
      <c r="C476" s="4" t="s">
        <v>259</v>
      </c>
      <c r="D476" s="15" t="s">
        <v>53</v>
      </c>
      <c r="E476" s="15">
        <v>1.0</v>
      </c>
      <c r="AU476" s="43"/>
      <c r="AX476" s="15" t="s">
        <v>86</v>
      </c>
    </row>
    <row r="477">
      <c r="A477" s="40">
        <v>46086.0</v>
      </c>
      <c r="B477" s="4" t="s">
        <v>196</v>
      </c>
      <c r="C477" s="4" t="s">
        <v>259</v>
      </c>
      <c r="D477" s="15" t="s">
        <v>93</v>
      </c>
      <c r="E477" s="15">
        <v>1.0</v>
      </c>
      <c r="AU477" s="43"/>
      <c r="AX477" s="15" t="s">
        <v>86</v>
      </c>
    </row>
    <row r="478">
      <c r="A478" s="40">
        <v>46086.0</v>
      </c>
      <c r="B478" s="4" t="s">
        <v>173</v>
      </c>
      <c r="C478" s="4" t="s">
        <v>194</v>
      </c>
      <c r="D478" s="15" t="s">
        <v>93</v>
      </c>
      <c r="E478" s="15">
        <v>0.5</v>
      </c>
      <c r="AU478" s="43"/>
      <c r="AX478" s="15" t="s">
        <v>86</v>
      </c>
    </row>
    <row r="479">
      <c r="A479" s="40">
        <v>46086.0</v>
      </c>
      <c r="B479" s="4" t="s">
        <v>1305</v>
      </c>
      <c r="C479" s="4" t="s">
        <v>194</v>
      </c>
      <c r="D479" s="15" t="s">
        <v>314</v>
      </c>
      <c r="E479" s="15">
        <v>0.5</v>
      </c>
      <c r="AU479" s="43"/>
      <c r="AX479" s="15" t="s">
        <v>86</v>
      </c>
    </row>
    <row r="480">
      <c r="A480" s="40">
        <v>46086.0</v>
      </c>
      <c r="B480" s="4" t="s">
        <v>58</v>
      </c>
      <c r="C480" s="4" t="s">
        <v>259</v>
      </c>
      <c r="D480" s="15" t="s">
        <v>38</v>
      </c>
      <c r="E480" s="15">
        <v>1.0</v>
      </c>
      <c r="AU480" s="43"/>
      <c r="AX480" s="15" t="s">
        <v>86</v>
      </c>
    </row>
    <row r="481">
      <c r="A481" s="40">
        <v>46086.0</v>
      </c>
      <c r="B481" s="4" t="s">
        <v>173</v>
      </c>
      <c r="C481" s="4" t="s">
        <v>259</v>
      </c>
      <c r="D481" s="15" t="s">
        <v>93</v>
      </c>
      <c r="E481" s="15">
        <v>1.0</v>
      </c>
      <c r="AU481" s="43"/>
      <c r="AX481" s="15" t="s">
        <v>86</v>
      </c>
    </row>
    <row r="482">
      <c r="A482" s="40">
        <v>46086.0</v>
      </c>
      <c r="B482" s="4" t="s">
        <v>31</v>
      </c>
      <c r="C482" s="4" t="s">
        <v>194</v>
      </c>
      <c r="D482" s="15" t="s">
        <v>38</v>
      </c>
      <c r="E482" s="15">
        <v>0.5</v>
      </c>
      <c r="AU482" s="43"/>
      <c r="AX482" s="15" t="s">
        <v>86</v>
      </c>
    </row>
    <row r="483">
      <c r="A483" s="40">
        <v>46086.0</v>
      </c>
      <c r="B483" s="4" t="s">
        <v>58</v>
      </c>
      <c r="C483" s="4" t="s">
        <v>194</v>
      </c>
      <c r="D483" s="15" t="s">
        <v>38</v>
      </c>
      <c r="E483" s="15">
        <v>0.5</v>
      </c>
      <c r="AU483" s="43"/>
      <c r="AX483" s="15" t="s">
        <v>86</v>
      </c>
    </row>
    <row r="484">
      <c r="A484" s="40">
        <v>46086.0</v>
      </c>
      <c r="B484" s="4" t="s">
        <v>212</v>
      </c>
      <c r="C484" s="4" t="s">
        <v>259</v>
      </c>
      <c r="D484" s="15" t="s">
        <v>53</v>
      </c>
      <c r="E484" s="15">
        <v>1.0</v>
      </c>
      <c r="AU484" s="43"/>
      <c r="AX484" s="15" t="s">
        <v>86</v>
      </c>
    </row>
    <row r="485">
      <c r="A485" s="40">
        <v>46086.0</v>
      </c>
      <c r="B485" s="4" t="s">
        <v>170</v>
      </c>
      <c r="C485" s="4" t="s">
        <v>194</v>
      </c>
      <c r="D485" s="15" t="s">
        <v>93</v>
      </c>
      <c r="E485" s="15">
        <v>0.5</v>
      </c>
      <c r="AU485" s="43"/>
      <c r="AX485" s="15" t="s">
        <v>86</v>
      </c>
    </row>
    <row r="486">
      <c r="A486" s="40">
        <v>46086.0</v>
      </c>
      <c r="B486" s="4" t="s">
        <v>1253</v>
      </c>
      <c r="C486" s="4" t="s">
        <v>291</v>
      </c>
      <c r="D486" s="15" t="s">
        <v>314</v>
      </c>
      <c r="E486" s="15">
        <v>1.5</v>
      </c>
      <c r="AU486" s="43"/>
      <c r="AX486" s="15" t="s">
        <v>86</v>
      </c>
    </row>
    <row r="487">
      <c r="A487" s="40">
        <v>46090.0</v>
      </c>
      <c r="B487" s="4" t="s">
        <v>649</v>
      </c>
      <c r="C487" s="4" t="s">
        <v>420</v>
      </c>
      <c r="D487" s="15" t="s">
        <v>53</v>
      </c>
      <c r="E487" s="15">
        <v>0.25</v>
      </c>
      <c r="AU487" s="43"/>
      <c r="AX487" s="15" t="s">
        <v>86</v>
      </c>
    </row>
    <row r="488">
      <c r="A488" s="40">
        <v>46090.0</v>
      </c>
      <c r="B488" s="4" t="s">
        <v>205</v>
      </c>
      <c r="C488" s="4" t="s">
        <v>194</v>
      </c>
      <c r="D488" s="15" t="s">
        <v>53</v>
      </c>
      <c r="E488" s="15">
        <v>0.5</v>
      </c>
      <c r="AU488" s="43"/>
      <c r="AX488" s="15" t="s">
        <v>86</v>
      </c>
    </row>
    <row r="489">
      <c r="A489" s="40">
        <v>46090.0</v>
      </c>
      <c r="B489" s="4" t="s">
        <v>706</v>
      </c>
      <c r="C489" s="4" t="s">
        <v>194</v>
      </c>
      <c r="D489" s="15" t="s">
        <v>93</v>
      </c>
      <c r="E489" s="15">
        <v>0.5</v>
      </c>
      <c r="AU489" s="43"/>
      <c r="AX489" s="15" t="s">
        <v>86</v>
      </c>
    </row>
    <row r="490">
      <c r="A490" s="40">
        <v>46090.0</v>
      </c>
      <c r="B490" s="4" t="s">
        <v>170</v>
      </c>
      <c r="C490" s="4" t="s">
        <v>194</v>
      </c>
      <c r="D490" s="15" t="s">
        <v>93</v>
      </c>
      <c r="E490" s="15">
        <v>0.5</v>
      </c>
      <c r="AU490" s="43"/>
      <c r="AX490" s="15" t="s">
        <v>86</v>
      </c>
    </row>
    <row r="491">
      <c r="A491" s="40">
        <v>46090.0</v>
      </c>
      <c r="B491" s="4" t="s">
        <v>1253</v>
      </c>
      <c r="C491" s="4" t="s">
        <v>194</v>
      </c>
      <c r="D491" s="15" t="s">
        <v>314</v>
      </c>
      <c r="E491" s="15">
        <v>0.5</v>
      </c>
      <c r="AU491" s="43"/>
      <c r="AX491" s="15" t="s">
        <v>86</v>
      </c>
    </row>
    <row r="492">
      <c r="A492" s="40">
        <v>46090.0</v>
      </c>
      <c r="B492" s="4" t="s">
        <v>1272</v>
      </c>
      <c r="C492" s="4" t="s">
        <v>194</v>
      </c>
      <c r="D492" s="15" t="s">
        <v>314</v>
      </c>
      <c r="E492" s="15">
        <v>0.5</v>
      </c>
      <c r="AU492" s="43"/>
      <c r="AX492" s="15" t="s">
        <v>86</v>
      </c>
    </row>
    <row r="493">
      <c r="A493" s="40">
        <v>46090.0</v>
      </c>
      <c r="B493" s="4" t="s">
        <v>227</v>
      </c>
      <c r="C493" s="4" t="s">
        <v>194</v>
      </c>
      <c r="D493" s="15" t="s">
        <v>53</v>
      </c>
      <c r="E493" s="15">
        <v>0.5</v>
      </c>
      <c r="AU493" s="43"/>
      <c r="AX493" s="15" t="s">
        <v>86</v>
      </c>
    </row>
    <row r="494">
      <c r="A494" s="40">
        <v>46090.0</v>
      </c>
      <c r="B494" s="4" t="s">
        <v>58</v>
      </c>
      <c r="C494" s="4" t="s">
        <v>406</v>
      </c>
      <c r="D494" s="15" t="s">
        <v>38</v>
      </c>
      <c r="E494" s="15">
        <v>0.4166666666666667</v>
      </c>
      <c r="AU494" s="43"/>
      <c r="AX494" s="15" t="s">
        <v>86</v>
      </c>
    </row>
    <row r="495">
      <c r="A495" s="40">
        <v>46090.0</v>
      </c>
      <c r="B495" s="4" t="s">
        <v>170</v>
      </c>
      <c r="C495" s="4" t="s">
        <v>194</v>
      </c>
      <c r="D495" s="15" t="s">
        <v>93</v>
      </c>
      <c r="E495" s="15">
        <v>0.5</v>
      </c>
      <c r="AU495" s="43"/>
      <c r="AX495" s="15" t="s">
        <v>86</v>
      </c>
    </row>
    <row r="496">
      <c r="A496" s="40">
        <v>46090.0</v>
      </c>
      <c r="B496" s="4" t="s">
        <v>31</v>
      </c>
      <c r="C496" s="4" t="s">
        <v>194</v>
      </c>
      <c r="D496" s="15" t="s">
        <v>38</v>
      </c>
      <c r="E496" s="15">
        <v>0.5</v>
      </c>
      <c r="AU496" s="43"/>
      <c r="AX496" s="15" t="s">
        <v>86</v>
      </c>
    </row>
    <row r="497">
      <c r="A497" s="40">
        <v>46091.0</v>
      </c>
      <c r="B497" s="4" t="s">
        <v>205</v>
      </c>
      <c r="C497" s="4" t="s">
        <v>194</v>
      </c>
      <c r="D497" s="15" t="s">
        <v>53</v>
      </c>
      <c r="E497" s="15">
        <v>0.5</v>
      </c>
      <c r="AU497" s="43"/>
      <c r="AX497" s="15" t="s">
        <v>86</v>
      </c>
    </row>
    <row r="498">
      <c r="A498" s="40">
        <v>46091.0</v>
      </c>
      <c r="B498" s="4" t="s">
        <v>48</v>
      </c>
      <c r="C498" s="4" t="s">
        <v>259</v>
      </c>
      <c r="D498" s="15" t="s">
        <v>38</v>
      </c>
      <c r="E498" s="15">
        <v>1.0</v>
      </c>
      <c r="AU498" s="43"/>
      <c r="AX498" s="15" t="s">
        <v>86</v>
      </c>
    </row>
    <row r="499">
      <c r="A499" s="40">
        <v>46091.0</v>
      </c>
      <c r="B499" s="4" t="s">
        <v>170</v>
      </c>
      <c r="C499" s="4" t="s">
        <v>194</v>
      </c>
      <c r="D499" s="15" t="s">
        <v>93</v>
      </c>
      <c r="E499" s="15">
        <v>0.5</v>
      </c>
      <c r="AU499" s="43"/>
      <c r="AX499" s="15" t="s">
        <v>86</v>
      </c>
    </row>
    <row r="500">
      <c r="A500" s="40">
        <v>46091.0</v>
      </c>
      <c r="B500" s="4" t="s">
        <v>173</v>
      </c>
      <c r="C500" s="4" t="s">
        <v>194</v>
      </c>
      <c r="D500" s="15" t="s">
        <v>93</v>
      </c>
      <c r="E500" s="15">
        <v>0.5</v>
      </c>
      <c r="AU500" s="43"/>
      <c r="AX500" s="15" t="s">
        <v>86</v>
      </c>
    </row>
    <row r="501">
      <c r="A501" s="40">
        <v>46091.0</v>
      </c>
      <c r="B501" s="4" t="s">
        <v>706</v>
      </c>
      <c r="C501" s="4" t="s">
        <v>194</v>
      </c>
      <c r="D501" s="15" t="s">
        <v>93</v>
      </c>
      <c r="E501" s="15">
        <v>0.5</v>
      </c>
      <c r="AU501" s="43"/>
      <c r="AX501" s="15" t="s">
        <v>86</v>
      </c>
    </row>
    <row r="502">
      <c r="A502" s="40">
        <v>46091.0</v>
      </c>
      <c r="B502" s="4" t="s">
        <v>31</v>
      </c>
      <c r="C502" s="4" t="s">
        <v>194</v>
      </c>
      <c r="D502" s="15" t="s">
        <v>38</v>
      </c>
      <c r="E502" s="15">
        <v>0.5</v>
      </c>
      <c r="AU502" s="43"/>
      <c r="AX502" s="15" t="s">
        <v>86</v>
      </c>
    </row>
    <row r="503">
      <c r="A503" s="40">
        <v>46091.0</v>
      </c>
      <c r="B503" s="4" t="s">
        <v>48</v>
      </c>
      <c r="C503" s="4" t="s">
        <v>194</v>
      </c>
      <c r="D503" s="15" t="s">
        <v>38</v>
      </c>
      <c r="E503" s="15">
        <v>0.5</v>
      </c>
      <c r="AU503" s="43"/>
      <c r="AX503" s="15" t="s">
        <v>86</v>
      </c>
    </row>
    <row r="504">
      <c r="A504" s="40">
        <v>46091.0</v>
      </c>
      <c r="B504" s="4" t="s">
        <v>706</v>
      </c>
      <c r="C504" s="4" t="s">
        <v>194</v>
      </c>
      <c r="D504" s="15" t="s">
        <v>93</v>
      </c>
      <c r="E504" s="15">
        <v>0.5</v>
      </c>
      <c r="AU504" s="43"/>
      <c r="AX504" s="15" t="s">
        <v>86</v>
      </c>
    </row>
    <row r="505">
      <c r="A505" s="40">
        <v>46091.0</v>
      </c>
      <c r="B505" s="4" t="s">
        <v>58</v>
      </c>
      <c r="C505" s="4" t="s">
        <v>194</v>
      </c>
      <c r="D505" s="15" t="s">
        <v>38</v>
      </c>
      <c r="E505" s="15">
        <v>0.5</v>
      </c>
      <c r="AU505" s="43"/>
      <c r="AX505" s="15" t="s">
        <v>86</v>
      </c>
    </row>
    <row r="506">
      <c r="A506" s="40">
        <v>46091.0</v>
      </c>
      <c r="B506" s="4" t="s">
        <v>48</v>
      </c>
      <c r="C506" s="4" t="s">
        <v>194</v>
      </c>
      <c r="D506" s="15" t="s">
        <v>38</v>
      </c>
      <c r="E506" s="15">
        <v>0.5</v>
      </c>
      <c r="AU506" s="43"/>
      <c r="AX506" s="15" t="s">
        <v>86</v>
      </c>
    </row>
    <row r="507">
      <c r="A507" s="40">
        <v>46091.0</v>
      </c>
      <c r="B507" s="4" t="s">
        <v>208</v>
      </c>
      <c r="C507" s="4" t="s">
        <v>1762</v>
      </c>
      <c r="D507" s="15" t="s">
        <v>53</v>
      </c>
      <c r="E507" s="15">
        <v>1.75</v>
      </c>
      <c r="AU507" s="43"/>
      <c r="AX507" s="15" t="s">
        <v>86</v>
      </c>
    </row>
    <row r="508">
      <c r="A508" s="40">
        <v>46092.0</v>
      </c>
      <c r="B508" s="4" t="s">
        <v>189</v>
      </c>
      <c r="C508" s="4" t="s">
        <v>259</v>
      </c>
      <c r="D508" s="15" t="s">
        <v>93</v>
      </c>
      <c r="E508" s="15">
        <v>1.0</v>
      </c>
      <c r="AU508" s="43"/>
      <c r="AX508" s="15" t="s">
        <v>86</v>
      </c>
    </row>
    <row r="509">
      <c r="A509" s="40">
        <v>46092.0</v>
      </c>
      <c r="B509" s="4" t="s">
        <v>173</v>
      </c>
      <c r="C509" s="4" t="s">
        <v>194</v>
      </c>
      <c r="D509" s="15" t="s">
        <v>93</v>
      </c>
      <c r="E509" s="15">
        <v>0.5</v>
      </c>
      <c r="AU509" s="43"/>
      <c r="AX509" s="15" t="s">
        <v>86</v>
      </c>
    </row>
    <row r="510">
      <c r="A510" s="40">
        <v>46092.0</v>
      </c>
      <c r="B510" s="4" t="s">
        <v>706</v>
      </c>
      <c r="C510" s="4" t="s">
        <v>194</v>
      </c>
      <c r="D510" s="15" t="s">
        <v>93</v>
      </c>
      <c r="E510" s="15">
        <v>0.5</v>
      </c>
      <c r="AU510" s="43"/>
      <c r="AX510" s="15" t="s">
        <v>86</v>
      </c>
    </row>
    <row r="511">
      <c r="A511" s="40">
        <v>46092.0</v>
      </c>
      <c r="B511" s="4" t="s">
        <v>1305</v>
      </c>
      <c r="C511" s="4" t="s">
        <v>194</v>
      </c>
      <c r="D511" s="15" t="s">
        <v>314</v>
      </c>
      <c r="E511" s="15">
        <v>0.5</v>
      </c>
      <c r="AU511" s="43"/>
      <c r="AX511" s="15" t="s">
        <v>86</v>
      </c>
    </row>
    <row r="512">
      <c r="A512" s="40">
        <v>46092.0</v>
      </c>
      <c r="B512" s="4" t="s">
        <v>1272</v>
      </c>
      <c r="C512" s="4" t="s">
        <v>259</v>
      </c>
      <c r="D512" s="15" t="s">
        <v>314</v>
      </c>
      <c r="E512" s="15">
        <v>1.0</v>
      </c>
      <c r="AU512" s="43"/>
      <c r="AX512" s="15" t="s">
        <v>86</v>
      </c>
    </row>
    <row r="513">
      <c r="A513" s="40">
        <v>46092.0</v>
      </c>
      <c r="B513" s="4" t="s">
        <v>31</v>
      </c>
      <c r="C513" s="4" t="s">
        <v>194</v>
      </c>
      <c r="D513" s="15" t="s">
        <v>38</v>
      </c>
      <c r="E513" s="15">
        <v>0.5</v>
      </c>
      <c r="AU513" s="43"/>
      <c r="AX513" s="15" t="s">
        <v>86</v>
      </c>
    </row>
    <row r="514">
      <c r="A514" s="40">
        <v>46092.0</v>
      </c>
      <c r="B514" s="4" t="s">
        <v>58</v>
      </c>
      <c r="C514" s="4" t="s">
        <v>194</v>
      </c>
      <c r="D514" s="15" t="s">
        <v>38</v>
      </c>
      <c r="E514" s="15">
        <v>0.5</v>
      </c>
      <c r="AU514" s="43"/>
      <c r="AX514" s="15" t="s">
        <v>86</v>
      </c>
    </row>
    <row r="515">
      <c r="A515" s="40">
        <v>46092.0</v>
      </c>
      <c r="B515" s="4" t="s">
        <v>346</v>
      </c>
      <c r="C515" s="4" t="s">
        <v>194</v>
      </c>
      <c r="D515" s="15" t="s">
        <v>53</v>
      </c>
      <c r="E515" s="15">
        <v>0.5</v>
      </c>
      <c r="AU515" s="43"/>
      <c r="AX515" s="15" t="s">
        <v>86</v>
      </c>
    </row>
    <row r="516">
      <c r="A516" s="40">
        <v>46092.0</v>
      </c>
      <c r="B516" s="4" t="s">
        <v>1265</v>
      </c>
      <c r="C516" s="4" t="s">
        <v>194</v>
      </c>
      <c r="D516" s="15" t="s">
        <v>314</v>
      </c>
      <c r="E516" s="15">
        <v>0.5</v>
      </c>
      <c r="AU516" s="43"/>
      <c r="AX516" s="15" t="s">
        <v>86</v>
      </c>
    </row>
    <row r="517">
      <c r="A517" s="40">
        <v>46092.0</v>
      </c>
      <c r="B517" s="4" t="s">
        <v>48</v>
      </c>
      <c r="C517" s="4" t="s">
        <v>259</v>
      </c>
      <c r="D517" s="15" t="s">
        <v>38</v>
      </c>
      <c r="E517" s="15">
        <v>1.0</v>
      </c>
      <c r="AU517" s="43"/>
      <c r="AX517" s="15" t="s">
        <v>86</v>
      </c>
    </row>
    <row r="518">
      <c r="A518" s="40">
        <v>46092.0</v>
      </c>
      <c r="B518" s="4" t="s">
        <v>48</v>
      </c>
      <c r="C518" s="4" t="s">
        <v>291</v>
      </c>
      <c r="D518" s="15" t="s">
        <v>38</v>
      </c>
      <c r="E518" s="15">
        <v>1.5</v>
      </c>
      <c r="AU518" s="43"/>
      <c r="AX518" s="15" t="s">
        <v>86</v>
      </c>
    </row>
    <row r="519">
      <c r="A519" s="40">
        <v>46092.0</v>
      </c>
      <c r="B519" s="4" t="s">
        <v>706</v>
      </c>
      <c r="C519" s="4" t="s">
        <v>259</v>
      </c>
      <c r="D519" s="15" t="s">
        <v>93</v>
      </c>
      <c r="E519" s="15">
        <v>1.0</v>
      </c>
      <c r="AU519" s="43"/>
      <c r="AX519" s="15" t="s">
        <v>86</v>
      </c>
    </row>
    <row r="520">
      <c r="A520" s="40">
        <v>46093.0</v>
      </c>
      <c r="B520" s="4" t="s">
        <v>205</v>
      </c>
      <c r="C520" s="4" t="s">
        <v>194</v>
      </c>
      <c r="D520" s="15" t="s">
        <v>53</v>
      </c>
      <c r="E520" s="15">
        <v>0.5</v>
      </c>
      <c r="AU520" s="43"/>
      <c r="AX520" s="15" t="s">
        <v>86</v>
      </c>
    </row>
    <row r="521">
      <c r="A521" s="40">
        <v>46093.0</v>
      </c>
      <c r="B521" s="4" t="s">
        <v>224</v>
      </c>
      <c r="C521" s="4" t="s">
        <v>259</v>
      </c>
      <c r="D521" s="15" t="s">
        <v>53</v>
      </c>
      <c r="E521" s="15">
        <v>1.0</v>
      </c>
      <c r="AU521" s="43"/>
      <c r="AX521" s="15" t="s">
        <v>86</v>
      </c>
    </row>
    <row r="522">
      <c r="A522" s="40">
        <v>46093.0</v>
      </c>
      <c r="B522" s="4" t="s">
        <v>170</v>
      </c>
      <c r="C522" s="4" t="s">
        <v>194</v>
      </c>
      <c r="D522" s="15" t="s">
        <v>93</v>
      </c>
      <c r="E522" s="15">
        <v>0.5</v>
      </c>
      <c r="AU522" s="43"/>
      <c r="AX522" s="15" t="s">
        <v>86</v>
      </c>
    </row>
    <row r="523">
      <c r="A523" s="40">
        <v>46093.0</v>
      </c>
      <c r="B523" s="4" t="s">
        <v>189</v>
      </c>
      <c r="C523" s="4" t="s">
        <v>194</v>
      </c>
      <c r="D523" s="15" t="s">
        <v>93</v>
      </c>
      <c r="E523" s="15">
        <v>0.5</v>
      </c>
      <c r="AU523" s="43"/>
      <c r="AX523" s="15" t="s">
        <v>86</v>
      </c>
    </row>
    <row r="524">
      <c r="A524" s="40">
        <v>46093.0</v>
      </c>
      <c r="B524" s="4" t="s">
        <v>1305</v>
      </c>
      <c r="C524" s="4" t="s">
        <v>194</v>
      </c>
      <c r="D524" s="15" t="s">
        <v>314</v>
      </c>
      <c r="E524" s="15">
        <v>0.5</v>
      </c>
      <c r="AU524" s="43"/>
      <c r="AX524" s="15" t="s">
        <v>86</v>
      </c>
    </row>
    <row r="525">
      <c r="A525" s="40">
        <v>46093.0</v>
      </c>
      <c r="B525" s="4" t="s">
        <v>1305</v>
      </c>
      <c r="C525" s="4" t="s">
        <v>420</v>
      </c>
      <c r="D525" s="15" t="s">
        <v>314</v>
      </c>
      <c r="E525" s="15">
        <v>0.25</v>
      </c>
      <c r="AU525" s="43"/>
      <c r="AX525" s="15" t="s">
        <v>86</v>
      </c>
    </row>
    <row r="526">
      <c r="A526" s="40">
        <v>46093.0</v>
      </c>
      <c r="B526" s="4" t="s">
        <v>58</v>
      </c>
      <c r="C526" s="4" t="s">
        <v>406</v>
      </c>
      <c r="D526" s="15" t="s">
        <v>38</v>
      </c>
      <c r="E526" s="15">
        <v>0.4166666666666667</v>
      </c>
      <c r="AU526" s="43"/>
      <c r="AX526" s="15" t="s">
        <v>86</v>
      </c>
    </row>
    <row r="527">
      <c r="A527" s="40">
        <v>46093.0</v>
      </c>
      <c r="B527" s="4" t="s">
        <v>218</v>
      </c>
      <c r="C527" s="4" t="s">
        <v>194</v>
      </c>
      <c r="D527" s="15" t="s">
        <v>53</v>
      </c>
      <c r="E527" s="15">
        <v>0.5</v>
      </c>
      <c r="AU527" s="43"/>
      <c r="AX527" s="15" t="s">
        <v>86</v>
      </c>
    </row>
    <row r="528">
      <c r="A528" s="40">
        <v>46093.0</v>
      </c>
      <c r="B528" s="4" t="s">
        <v>637</v>
      </c>
      <c r="C528" s="4" t="s">
        <v>194</v>
      </c>
      <c r="D528" s="15" t="s">
        <v>53</v>
      </c>
      <c r="E528" s="15">
        <v>0.5</v>
      </c>
      <c r="AU528" s="43"/>
      <c r="AX528" s="15" t="s">
        <v>86</v>
      </c>
    </row>
    <row r="529">
      <c r="A529" s="40">
        <v>46093.0</v>
      </c>
      <c r="B529" s="4" t="s">
        <v>58</v>
      </c>
      <c r="C529" s="4" t="s">
        <v>259</v>
      </c>
      <c r="D529" s="15" t="s">
        <v>38</v>
      </c>
      <c r="E529" s="15">
        <v>1.0</v>
      </c>
      <c r="AU529" s="43"/>
      <c r="AX529" s="15" t="s">
        <v>86</v>
      </c>
    </row>
    <row r="530">
      <c r="A530" s="40">
        <v>46093.0</v>
      </c>
      <c r="B530" s="4" t="s">
        <v>170</v>
      </c>
      <c r="C530" s="4" t="s">
        <v>194</v>
      </c>
      <c r="D530" s="15" t="s">
        <v>93</v>
      </c>
      <c r="E530" s="15">
        <v>0.5</v>
      </c>
      <c r="AU530" s="43"/>
      <c r="AX530" s="15" t="s">
        <v>86</v>
      </c>
    </row>
    <row r="531">
      <c r="A531" s="40">
        <v>46093.0</v>
      </c>
      <c r="B531" s="4" t="s">
        <v>224</v>
      </c>
      <c r="C531" s="4" t="s">
        <v>286</v>
      </c>
      <c r="D531" s="15" t="s">
        <v>53</v>
      </c>
      <c r="E531" s="15">
        <v>0.75</v>
      </c>
      <c r="AU531" s="43"/>
      <c r="AX531" s="15" t="s">
        <v>86</v>
      </c>
    </row>
    <row r="532">
      <c r="A532" s="40">
        <v>46093.0</v>
      </c>
      <c r="B532" s="4" t="s">
        <v>189</v>
      </c>
      <c r="C532" s="4" t="s">
        <v>259</v>
      </c>
      <c r="D532" s="15" t="s">
        <v>93</v>
      </c>
      <c r="E532" s="15">
        <v>1.0</v>
      </c>
      <c r="AU532" s="43"/>
      <c r="AX532" s="15" t="s">
        <v>86</v>
      </c>
    </row>
    <row r="533">
      <c r="A533" s="40">
        <v>46094.0</v>
      </c>
      <c r="B533" s="4" t="s">
        <v>173</v>
      </c>
      <c r="C533" s="4" t="s">
        <v>194</v>
      </c>
      <c r="D533" s="15" t="s">
        <v>93</v>
      </c>
      <c r="E533" s="15">
        <v>0.5</v>
      </c>
      <c r="AU533" s="43"/>
      <c r="AX533" s="15" t="s">
        <v>86</v>
      </c>
    </row>
    <row r="534">
      <c r="A534" s="40">
        <v>46094.0</v>
      </c>
      <c r="B534" s="4" t="s">
        <v>1305</v>
      </c>
      <c r="C534" s="4" t="s">
        <v>259</v>
      </c>
      <c r="D534" s="15" t="s">
        <v>314</v>
      </c>
      <c r="E534" s="15">
        <v>1.0</v>
      </c>
      <c r="AU534" s="43"/>
      <c r="AX534" s="15" t="s">
        <v>86</v>
      </c>
    </row>
    <row r="535">
      <c r="A535" s="40">
        <v>46094.0</v>
      </c>
      <c r="B535" s="4" t="s">
        <v>212</v>
      </c>
      <c r="C535" s="4" t="s">
        <v>194</v>
      </c>
      <c r="D535" s="15" t="s">
        <v>53</v>
      </c>
      <c r="E535" s="15">
        <v>0.5</v>
      </c>
      <c r="AU535" s="43"/>
      <c r="AX535" s="15" t="s">
        <v>86</v>
      </c>
    </row>
    <row r="536">
      <c r="A536" s="40">
        <v>46094.0</v>
      </c>
      <c r="B536" s="4" t="s">
        <v>706</v>
      </c>
      <c r="C536" s="4" t="s">
        <v>259</v>
      </c>
      <c r="D536" s="15" t="s">
        <v>93</v>
      </c>
      <c r="E536" s="15">
        <v>1.0</v>
      </c>
      <c r="AU536" s="43"/>
      <c r="AX536" s="15" t="s">
        <v>86</v>
      </c>
    </row>
    <row r="537">
      <c r="A537" s="40">
        <v>46094.0</v>
      </c>
      <c r="B537" s="4" t="s">
        <v>58</v>
      </c>
      <c r="C537" s="4" t="s">
        <v>194</v>
      </c>
      <c r="D537" s="15" t="s">
        <v>38</v>
      </c>
      <c r="E537" s="15">
        <v>0.5</v>
      </c>
      <c r="AU537" s="43"/>
      <c r="AX537" s="15" t="s">
        <v>86</v>
      </c>
    </row>
    <row r="538">
      <c r="A538" s="40">
        <v>46094.0</v>
      </c>
      <c r="B538" s="4" t="s">
        <v>48</v>
      </c>
      <c r="C538" s="4" t="s">
        <v>194</v>
      </c>
      <c r="D538" s="15" t="s">
        <v>38</v>
      </c>
      <c r="E538" s="15">
        <v>0.5</v>
      </c>
      <c r="AU538" s="43"/>
      <c r="AX538" s="15" t="s">
        <v>86</v>
      </c>
    </row>
    <row r="539">
      <c r="A539" s="40">
        <v>46094.0</v>
      </c>
      <c r="B539" s="4" t="s">
        <v>224</v>
      </c>
      <c r="C539" s="4" t="s">
        <v>259</v>
      </c>
      <c r="D539" s="15" t="s">
        <v>53</v>
      </c>
      <c r="E539" s="15">
        <v>1.0</v>
      </c>
      <c r="AU539" s="43"/>
      <c r="AX539" s="15" t="s">
        <v>86</v>
      </c>
    </row>
    <row r="540">
      <c r="A540" s="40">
        <v>46094.0</v>
      </c>
      <c r="B540" s="4" t="s">
        <v>1272</v>
      </c>
      <c r="C540" s="4" t="s">
        <v>259</v>
      </c>
      <c r="D540" s="15" t="s">
        <v>314</v>
      </c>
      <c r="E540" s="15">
        <v>1.0</v>
      </c>
      <c r="AU540" s="43"/>
      <c r="AX540" s="15" t="s">
        <v>86</v>
      </c>
    </row>
    <row r="541">
      <c r="A541" s="40">
        <v>46094.0</v>
      </c>
      <c r="B541" s="4" t="s">
        <v>649</v>
      </c>
      <c r="C541" s="4" t="s">
        <v>194</v>
      </c>
      <c r="D541" s="15" t="s">
        <v>53</v>
      </c>
      <c r="E541" s="15">
        <v>0.5</v>
      </c>
      <c r="AU541" s="43"/>
      <c r="AX541" s="15" t="s">
        <v>86</v>
      </c>
    </row>
    <row r="542">
      <c r="A542" s="40">
        <v>46094.0</v>
      </c>
      <c r="B542" s="4" t="s">
        <v>31</v>
      </c>
      <c r="C542" s="4" t="s">
        <v>1762</v>
      </c>
      <c r="D542" s="15" t="s">
        <v>38</v>
      </c>
      <c r="E542" s="15">
        <v>1.75</v>
      </c>
      <c r="AU542" s="43"/>
      <c r="AX542" s="15" t="s">
        <v>86</v>
      </c>
    </row>
    <row r="543">
      <c r="A543" s="40">
        <v>46097.0</v>
      </c>
      <c r="B543" s="4" t="s">
        <v>205</v>
      </c>
      <c r="C543" s="4" t="s">
        <v>194</v>
      </c>
      <c r="D543" s="15" t="s">
        <v>53</v>
      </c>
      <c r="E543" s="15">
        <v>0.5</v>
      </c>
      <c r="AU543" s="43"/>
      <c r="AX543" s="15" t="s">
        <v>86</v>
      </c>
    </row>
    <row r="544">
      <c r="A544" s="40">
        <v>46097.0</v>
      </c>
      <c r="B544" s="4" t="s">
        <v>31</v>
      </c>
      <c r="C544" s="4" t="s">
        <v>259</v>
      </c>
      <c r="D544" s="15" t="s">
        <v>38</v>
      </c>
      <c r="E544" s="15">
        <v>1.0</v>
      </c>
      <c r="AU544" s="43"/>
      <c r="AX544" s="15" t="s">
        <v>86</v>
      </c>
    </row>
    <row r="545">
      <c r="A545" s="40">
        <v>46097.0</v>
      </c>
      <c r="B545" s="4" t="s">
        <v>706</v>
      </c>
      <c r="C545" s="4" t="s">
        <v>259</v>
      </c>
      <c r="D545" s="15" t="s">
        <v>93</v>
      </c>
      <c r="E545" s="15">
        <v>1.0</v>
      </c>
      <c r="AU545" s="43"/>
      <c r="AX545" s="15" t="s">
        <v>86</v>
      </c>
    </row>
    <row r="546">
      <c r="A546" s="40">
        <v>46097.0</v>
      </c>
      <c r="B546" s="4" t="s">
        <v>706</v>
      </c>
      <c r="C546" s="4" t="s">
        <v>194</v>
      </c>
      <c r="D546" s="15" t="s">
        <v>93</v>
      </c>
      <c r="E546" s="15">
        <v>0.5</v>
      </c>
      <c r="AU546" s="43"/>
      <c r="AX546" s="15" t="s">
        <v>86</v>
      </c>
    </row>
    <row r="547">
      <c r="A547" s="40">
        <v>46097.0</v>
      </c>
      <c r="B547" s="4" t="s">
        <v>224</v>
      </c>
      <c r="C547" s="4" t="s">
        <v>259</v>
      </c>
      <c r="D547" s="15" t="s">
        <v>53</v>
      </c>
      <c r="E547" s="15">
        <v>1.0</v>
      </c>
      <c r="AU547" s="43"/>
      <c r="AX547" s="15" t="s">
        <v>86</v>
      </c>
    </row>
    <row r="548">
      <c r="A548" s="40">
        <v>46097.0</v>
      </c>
      <c r="B548" s="4" t="s">
        <v>1232</v>
      </c>
      <c r="C548" s="4" t="s">
        <v>259</v>
      </c>
      <c r="D548" s="15" t="s">
        <v>314</v>
      </c>
      <c r="E548" s="15">
        <v>1.0</v>
      </c>
      <c r="AU548" s="43"/>
      <c r="AX548" s="15" t="s">
        <v>86</v>
      </c>
    </row>
    <row r="549">
      <c r="A549" s="40">
        <v>46097.0</v>
      </c>
      <c r="B549" s="4" t="s">
        <v>1272</v>
      </c>
      <c r="C549" s="4" t="s">
        <v>194</v>
      </c>
      <c r="D549" s="15" t="s">
        <v>314</v>
      </c>
      <c r="E549" s="15">
        <v>0.5</v>
      </c>
      <c r="AU549" s="43"/>
      <c r="AX549" s="15" t="s">
        <v>86</v>
      </c>
    </row>
    <row r="550">
      <c r="A550" s="40">
        <v>46097.0</v>
      </c>
      <c r="B550" s="4" t="s">
        <v>1232</v>
      </c>
      <c r="C550" s="4" t="s">
        <v>194</v>
      </c>
      <c r="D550" s="15" t="s">
        <v>314</v>
      </c>
      <c r="E550" s="15">
        <v>0.5</v>
      </c>
      <c r="AU550" s="43"/>
      <c r="AX550" s="15" t="s">
        <v>86</v>
      </c>
    </row>
    <row r="551">
      <c r="A551" s="40">
        <v>46097.0</v>
      </c>
      <c r="B551" s="4" t="s">
        <v>48</v>
      </c>
      <c r="C551" s="4" t="s">
        <v>259</v>
      </c>
      <c r="D551" s="15" t="s">
        <v>38</v>
      </c>
      <c r="E551" s="15">
        <v>1.0</v>
      </c>
      <c r="AU551" s="43"/>
      <c r="AX551" s="15" t="s">
        <v>86</v>
      </c>
    </row>
    <row r="552">
      <c r="A552" s="40">
        <v>46097.0</v>
      </c>
      <c r="B552" s="4" t="s">
        <v>31</v>
      </c>
      <c r="C552" s="4" t="s">
        <v>259</v>
      </c>
      <c r="D552" s="15" t="s">
        <v>38</v>
      </c>
      <c r="E552" s="15">
        <v>1.0</v>
      </c>
      <c r="AU552" s="43"/>
      <c r="AX552" s="15" t="s">
        <v>86</v>
      </c>
    </row>
    <row r="553">
      <c r="A553" s="40">
        <v>46097.0</v>
      </c>
      <c r="B553" s="4" t="s">
        <v>1232</v>
      </c>
      <c r="C553" s="4" t="s">
        <v>291</v>
      </c>
      <c r="D553" s="15" t="s">
        <v>314</v>
      </c>
      <c r="E553" s="15">
        <v>1.5</v>
      </c>
      <c r="AU553" s="43"/>
      <c r="AX553" s="15" t="s">
        <v>86</v>
      </c>
    </row>
    <row r="554">
      <c r="A554" s="40">
        <v>46097.0</v>
      </c>
      <c r="B554" s="4" t="s">
        <v>706</v>
      </c>
      <c r="C554" s="4" t="s">
        <v>259</v>
      </c>
      <c r="D554" s="15" t="s">
        <v>93</v>
      </c>
      <c r="E554" s="15">
        <v>1.0</v>
      </c>
      <c r="AU554" s="43"/>
      <c r="AX554" s="15" t="s">
        <v>86</v>
      </c>
    </row>
    <row r="555">
      <c r="A555" s="40">
        <v>46098.0</v>
      </c>
      <c r="B555" s="4" t="s">
        <v>205</v>
      </c>
      <c r="C555" s="4" t="s">
        <v>194</v>
      </c>
      <c r="D555" s="15" t="s">
        <v>53</v>
      </c>
      <c r="E555" s="15">
        <v>0.5</v>
      </c>
      <c r="AU555" s="43"/>
      <c r="AX555" s="15" t="s">
        <v>86</v>
      </c>
    </row>
    <row r="556">
      <c r="A556" s="40">
        <v>46098.0</v>
      </c>
      <c r="B556" s="4" t="s">
        <v>706</v>
      </c>
      <c r="C556" s="4" t="s">
        <v>259</v>
      </c>
      <c r="D556" s="15" t="s">
        <v>93</v>
      </c>
      <c r="E556" s="15">
        <v>1.0</v>
      </c>
      <c r="AU556" s="43"/>
      <c r="AX556" s="15" t="s">
        <v>86</v>
      </c>
    </row>
    <row r="557">
      <c r="A557" s="40">
        <v>46098.0</v>
      </c>
      <c r="B557" s="4" t="s">
        <v>706</v>
      </c>
      <c r="C557" s="4" t="s">
        <v>194</v>
      </c>
      <c r="D557" s="15" t="s">
        <v>93</v>
      </c>
      <c r="E557" s="15">
        <v>0.5</v>
      </c>
      <c r="AU557" s="43"/>
      <c r="AX557" s="15" t="s">
        <v>86</v>
      </c>
    </row>
    <row r="558">
      <c r="A558" s="40">
        <v>46098.0</v>
      </c>
      <c r="B558" s="4" t="s">
        <v>218</v>
      </c>
      <c r="C558" s="4" t="s">
        <v>194</v>
      </c>
      <c r="D558" s="15" t="s">
        <v>53</v>
      </c>
      <c r="E558" s="15">
        <v>0.5</v>
      </c>
      <c r="AU558" s="43"/>
      <c r="AX558" s="15" t="s">
        <v>86</v>
      </c>
    </row>
    <row r="559">
      <c r="A559" s="40">
        <v>46098.0</v>
      </c>
      <c r="B559" s="4" t="s">
        <v>649</v>
      </c>
      <c r="C559" s="4" t="s">
        <v>194</v>
      </c>
      <c r="D559" s="15" t="s">
        <v>53</v>
      </c>
      <c r="E559" s="15">
        <v>0.5</v>
      </c>
      <c r="AU559" s="43"/>
      <c r="AX559" s="15" t="s">
        <v>86</v>
      </c>
    </row>
    <row r="560">
      <c r="A560" s="40">
        <v>46098.0</v>
      </c>
      <c r="B560" s="4" t="s">
        <v>1305</v>
      </c>
      <c r="C560" s="4" t="s">
        <v>259</v>
      </c>
      <c r="D560" s="15" t="s">
        <v>314</v>
      </c>
      <c r="E560" s="15">
        <v>1.0</v>
      </c>
      <c r="AU560" s="43"/>
      <c r="AX560" s="15" t="s">
        <v>86</v>
      </c>
    </row>
    <row r="561">
      <c r="A561" s="40">
        <v>46098.0</v>
      </c>
      <c r="B561" s="4" t="s">
        <v>1305</v>
      </c>
      <c r="C561" s="4" t="s">
        <v>194</v>
      </c>
      <c r="D561" s="15" t="s">
        <v>314</v>
      </c>
      <c r="E561" s="15">
        <v>0.5</v>
      </c>
      <c r="AU561" s="43"/>
      <c r="AX561" s="15" t="s">
        <v>86</v>
      </c>
    </row>
    <row r="562">
      <c r="A562" s="40">
        <v>46098.0</v>
      </c>
      <c r="B562" s="4" t="s">
        <v>58</v>
      </c>
      <c r="C562" s="4" t="s">
        <v>194</v>
      </c>
      <c r="D562" s="15" t="s">
        <v>38</v>
      </c>
      <c r="E562" s="15">
        <v>0.5</v>
      </c>
      <c r="AU562" s="43"/>
      <c r="AX562" s="15" t="s">
        <v>86</v>
      </c>
    </row>
    <row r="563">
      <c r="A563" s="40">
        <v>46098.0</v>
      </c>
      <c r="B563" s="4" t="s">
        <v>1305</v>
      </c>
      <c r="C563" s="4" t="s">
        <v>194</v>
      </c>
      <c r="D563" s="15" t="s">
        <v>314</v>
      </c>
      <c r="E563" s="15">
        <v>0.5</v>
      </c>
      <c r="AU563" s="43"/>
      <c r="AX563" s="15" t="s">
        <v>86</v>
      </c>
    </row>
    <row r="564">
      <c r="A564" s="40">
        <v>46098.0</v>
      </c>
      <c r="B564" s="4" t="s">
        <v>205</v>
      </c>
      <c r="C564" s="4" t="s">
        <v>259</v>
      </c>
      <c r="D564" s="15" t="s">
        <v>53</v>
      </c>
      <c r="E564" s="15">
        <v>1.0</v>
      </c>
      <c r="AU564" s="43"/>
      <c r="AX564" s="15" t="s">
        <v>86</v>
      </c>
    </row>
    <row r="565">
      <c r="A565" s="40">
        <v>46098.0</v>
      </c>
      <c r="B565" s="4" t="s">
        <v>649</v>
      </c>
      <c r="C565" s="4" t="s">
        <v>194</v>
      </c>
      <c r="D565" s="15" t="s">
        <v>53</v>
      </c>
      <c r="E565" s="15">
        <v>0.5</v>
      </c>
      <c r="AU565" s="43"/>
      <c r="AX565" s="15" t="s">
        <v>86</v>
      </c>
    </row>
    <row r="566">
      <c r="A566" s="40">
        <v>46099.0</v>
      </c>
      <c r="B566" s="4" t="s">
        <v>205</v>
      </c>
      <c r="C566" s="4" t="s">
        <v>194</v>
      </c>
      <c r="D566" s="15" t="s">
        <v>53</v>
      </c>
      <c r="E566" s="15">
        <v>0.5</v>
      </c>
      <c r="AU566" s="43"/>
      <c r="AX566" s="15" t="s">
        <v>86</v>
      </c>
    </row>
    <row r="567">
      <c r="A567" s="40">
        <v>46099.0</v>
      </c>
      <c r="B567" s="4" t="s">
        <v>189</v>
      </c>
      <c r="C567" s="4" t="s">
        <v>259</v>
      </c>
      <c r="D567" s="15" t="s">
        <v>93</v>
      </c>
      <c r="E567" s="15">
        <v>1.0</v>
      </c>
      <c r="AU567" s="43"/>
      <c r="AX567" s="15" t="s">
        <v>86</v>
      </c>
    </row>
    <row r="568">
      <c r="A568" s="40">
        <v>46099.0</v>
      </c>
      <c r="B568" s="4" t="s">
        <v>173</v>
      </c>
      <c r="C568" s="4" t="s">
        <v>194</v>
      </c>
      <c r="D568" s="15" t="s">
        <v>93</v>
      </c>
      <c r="E568" s="15">
        <v>0.5</v>
      </c>
      <c r="AU568" s="43"/>
      <c r="AX568" s="15" t="s">
        <v>86</v>
      </c>
    </row>
    <row r="569">
      <c r="A569" s="40">
        <v>46099.0</v>
      </c>
      <c r="B569" s="4" t="s">
        <v>1232</v>
      </c>
      <c r="C569" s="4" t="s">
        <v>194</v>
      </c>
      <c r="D569" s="15" t="s">
        <v>314</v>
      </c>
      <c r="E569" s="15">
        <v>0.5</v>
      </c>
      <c r="AU569" s="43"/>
      <c r="AX569" s="15" t="s">
        <v>86</v>
      </c>
    </row>
    <row r="570">
      <c r="A570" s="40">
        <v>46099.0</v>
      </c>
      <c r="B570" s="4" t="s">
        <v>221</v>
      </c>
      <c r="C570" s="4" t="s">
        <v>194</v>
      </c>
      <c r="D570" s="15" t="s">
        <v>53</v>
      </c>
      <c r="E570" s="15">
        <v>0.5</v>
      </c>
      <c r="AU570" s="43"/>
      <c r="AX570" s="15" t="s">
        <v>86</v>
      </c>
    </row>
    <row r="571">
      <c r="A571" s="40">
        <v>46099.0</v>
      </c>
      <c r="B571" s="4" t="s">
        <v>58</v>
      </c>
      <c r="C571" s="4" t="s">
        <v>259</v>
      </c>
      <c r="D571" s="15" t="s">
        <v>38</v>
      </c>
      <c r="E571" s="15">
        <v>1.0</v>
      </c>
      <c r="AU571" s="43"/>
      <c r="AX571" s="15" t="s">
        <v>86</v>
      </c>
    </row>
    <row r="572">
      <c r="A572" s="40">
        <v>46099.0</v>
      </c>
      <c r="B572" s="4" t="s">
        <v>1272</v>
      </c>
      <c r="C572" s="4" t="s">
        <v>259</v>
      </c>
      <c r="D572" s="15" t="s">
        <v>314</v>
      </c>
      <c r="E572" s="15">
        <v>1.0</v>
      </c>
      <c r="AU572" s="43"/>
      <c r="AX572" s="15" t="s">
        <v>86</v>
      </c>
    </row>
    <row r="573">
      <c r="A573" s="40">
        <v>46099.0</v>
      </c>
      <c r="B573" s="4" t="s">
        <v>649</v>
      </c>
      <c r="C573" s="4" t="s">
        <v>194</v>
      </c>
      <c r="D573" s="15" t="s">
        <v>53</v>
      </c>
      <c r="E573" s="15">
        <v>0.5</v>
      </c>
      <c r="AU573" s="43"/>
      <c r="AX573" s="15" t="s">
        <v>86</v>
      </c>
    </row>
    <row r="574">
      <c r="A574" s="40">
        <v>46099.0</v>
      </c>
      <c r="B574" s="4" t="s">
        <v>31</v>
      </c>
      <c r="C574" s="4" t="s">
        <v>194</v>
      </c>
      <c r="D574" s="15" t="s">
        <v>38</v>
      </c>
      <c r="E574" s="15">
        <v>0.5</v>
      </c>
      <c r="AU574" s="43"/>
      <c r="AX574" s="15" t="s">
        <v>86</v>
      </c>
    </row>
    <row r="575">
      <c r="A575" s="40">
        <v>46099.0</v>
      </c>
      <c r="B575" s="4" t="s">
        <v>58</v>
      </c>
      <c r="C575" s="4" t="s">
        <v>194</v>
      </c>
      <c r="D575" s="15" t="s">
        <v>38</v>
      </c>
      <c r="E575" s="15">
        <v>0.5</v>
      </c>
      <c r="AU575" s="43"/>
      <c r="AX575" s="15" t="s">
        <v>86</v>
      </c>
    </row>
    <row r="576">
      <c r="A576" s="40">
        <v>46099.0</v>
      </c>
      <c r="B576" s="4" t="s">
        <v>31</v>
      </c>
      <c r="C576" s="4" t="s">
        <v>194</v>
      </c>
      <c r="D576" s="15" t="s">
        <v>38</v>
      </c>
      <c r="E576" s="15">
        <v>0.5</v>
      </c>
      <c r="AU576" s="43"/>
      <c r="AX576" s="15" t="s">
        <v>86</v>
      </c>
    </row>
    <row r="577">
      <c r="A577" s="40">
        <v>46099.0</v>
      </c>
      <c r="B577" s="4" t="s">
        <v>58</v>
      </c>
      <c r="C577" s="4" t="s">
        <v>259</v>
      </c>
      <c r="D577" s="15" t="s">
        <v>38</v>
      </c>
      <c r="E577" s="15">
        <v>1.0</v>
      </c>
      <c r="AU577" s="43"/>
      <c r="AX577" s="15" t="s">
        <v>86</v>
      </c>
    </row>
    <row r="578">
      <c r="A578" s="40">
        <v>46099.0</v>
      </c>
      <c r="B578" s="4" t="s">
        <v>58</v>
      </c>
      <c r="C578" s="4" t="s">
        <v>194</v>
      </c>
      <c r="D578" s="15" t="s">
        <v>38</v>
      </c>
      <c r="E578" s="15">
        <v>0.5</v>
      </c>
      <c r="AU578" s="43"/>
      <c r="AX578" s="15" t="s">
        <v>86</v>
      </c>
    </row>
    <row r="579">
      <c r="A579" s="40">
        <v>46099.0</v>
      </c>
      <c r="B579" s="4" t="s">
        <v>48</v>
      </c>
      <c r="C579" s="4" t="s">
        <v>259</v>
      </c>
      <c r="D579" s="15" t="s">
        <v>38</v>
      </c>
      <c r="E579" s="15">
        <v>1.0</v>
      </c>
      <c r="AU579" s="43"/>
      <c r="AX579" s="15" t="s">
        <v>86</v>
      </c>
    </row>
    <row r="580">
      <c r="A580" s="40">
        <v>46099.0</v>
      </c>
      <c r="B580" s="4" t="s">
        <v>649</v>
      </c>
      <c r="C580" s="4" t="s">
        <v>194</v>
      </c>
      <c r="D580" s="15" t="s">
        <v>53</v>
      </c>
      <c r="E580" s="15">
        <v>0.5</v>
      </c>
      <c r="AU580" s="43"/>
      <c r="AX580" s="15" t="s">
        <v>86</v>
      </c>
    </row>
    <row r="581">
      <c r="A581" s="40">
        <v>46099.0</v>
      </c>
      <c r="B581" s="4" t="s">
        <v>208</v>
      </c>
      <c r="C581" s="4" t="s">
        <v>259</v>
      </c>
      <c r="D581" s="15" t="s">
        <v>53</v>
      </c>
      <c r="E581" s="15">
        <v>1.0</v>
      </c>
      <c r="AU581" s="43"/>
      <c r="AX581" s="15" t="s">
        <v>86</v>
      </c>
    </row>
    <row r="582">
      <c r="A582" s="40">
        <v>46100.0</v>
      </c>
      <c r="B582" s="4" t="s">
        <v>205</v>
      </c>
      <c r="C582" s="4" t="s">
        <v>194</v>
      </c>
      <c r="D582" s="15" t="s">
        <v>53</v>
      </c>
      <c r="E582" s="15">
        <v>0.5</v>
      </c>
      <c r="AU582" s="43"/>
      <c r="AX582" s="15" t="s">
        <v>86</v>
      </c>
    </row>
    <row r="583">
      <c r="A583" s="40">
        <v>46100.0</v>
      </c>
      <c r="B583" s="4" t="s">
        <v>706</v>
      </c>
      <c r="C583" s="4" t="s">
        <v>259</v>
      </c>
      <c r="D583" s="15" t="s">
        <v>93</v>
      </c>
      <c r="E583" s="15">
        <v>1.0</v>
      </c>
      <c r="AU583" s="43"/>
      <c r="AX583" s="15" t="s">
        <v>86</v>
      </c>
    </row>
    <row r="584">
      <c r="A584" s="40">
        <v>46100.0</v>
      </c>
      <c r="B584" s="4" t="s">
        <v>706</v>
      </c>
      <c r="C584" s="4" t="s">
        <v>796</v>
      </c>
      <c r="D584" s="15" t="s">
        <v>93</v>
      </c>
      <c r="E584" s="15">
        <v>2.5</v>
      </c>
      <c r="AU584" s="43"/>
      <c r="AX584" s="15" t="s">
        <v>86</v>
      </c>
    </row>
    <row r="585">
      <c r="A585" s="40">
        <v>46100.0</v>
      </c>
      <c r="B585" s="4" t="s">
        <v>173</v>
      </c>
      <c r="C585" s="4" t="s">
        <v>194</v>
      </c>
      <c r="D585" s="15" t="s">
        <v>93</v>
      </c>
      <c r="E585" s="15">
        <v>0.5</v>
      </c>
      <c r="AU585" s="43"/>
      <c r="AX585" s="15" t="s">
        <v>86</v>
      </c>
    </row>
    <row r="586">
      <c r="A586" s="40">
        <v>46100.0</v>
      </c>
      <c r="B586" s="4" t="s">
        <v>706</v>
      </c>
      <c r="C586" s="4" t="s">
        <v>291</v>
      </c>
      <c r="D586" s="15" t="s">
        <v>93</v>
      </c>
      <c r="E586" s="15">
        <v>1.5</v>
      </c>
      <c r="AU586" s="43"/>
      <c r="AX586" s="15" t="s">
        <v>86</v>
      </c>
    </row>
    <row r="587">
      <c r="A587" s="40">
        <v>46100.0</v>
      </c>
      <c r="B587" s="4" t="s">
        <v>58</v>
      </c>
      <c r="C587" s="4" t="s">
        <v>194</v>
      </c>
      <c r="D587" s="15" t="s">
        <v>38</v>
      </c>
      <c r="E587" s="15">
        <v>0.5</v>
      </c>
      <c r="AU587" s="43"/>
      <c r="AX587" s="15" t="s">
        <v>86</v>
      </c>
    </row>
    <row r="588">
      <c r="A588" s="40">
        <v>46100.0</v>
      </c>
      <c r="B588" s="4" t="s">
        <v>1305</v>
      </c>
      <c r="C588" s="4" t="s">
        <v>259</v>
      </c>
      <c r="D588" s="15" t="s">
        <v>314</v>
      </c>
      <c r="E588" s="15">
        <v>1.0</v>
      </c>
      <c r="AU588" s="43"/>
      <c r="AX588" s="15" t="s">
        <v>86</v>
      </c>
    </row>
    <row r="589">
      <c r="A589" s="40">
        <v>46100.0</v>
      </c>
      <c r="B589" s="4" t="s">
        <v>170</v>
      </c>
      <c r="C589" s="4" t="s">
        <v>194</v>
      </c>
      <c r="D589" s="15" t="s">
        <v>93</v>
      </c>
      <c r="E589" s="15">
        <v>0.5</v>
      </c>
      <c r="AU589" s="43"/>
      <c r="AX589" s="15" t="s">
        <v>86</v>
      </c>
    </row>
    <row r="590">
      <c r="A590" s="40">
        <v>46100.0</v>
      </c>
      <c r="B590" s="4" t="s">
        <v>1232</v>
      </c>
      <c r="C590" s="4" t="s">
        <v>259</v>
      </c>
      <c r="D590" s="15" t="s">
        <v>314</v>
      </c>
      <c r="E590" s="15">
        <v>1.0</v>
      </c>
      <c r="AU590" s="43"/>
      <c r="AX590" s="15" t="s">
        <v>86</v>
      </c>
    </row>
    <row r="591">
      <c r="A591" s="40">
        <v>46100.0</v>
      </c>
      <c r="B591" s="4" t="s">
        <v>706</v>
      </c>
      <c r="C591" s="4" t="s">
        <v>558</v>
      </c>
      <c r="D591" s="15" t="s">
        <v>93</v>
      </c>
      <c r="E591" s="15">
        <v>2.0</v>
      </c>
      <c r="AU591" s="43"/>
      <c r="AX591" s="15" t="s">
        <v>86</v>
      </c>
    </row>
    <row r="592">
      <c r="A592" s="40">
        <v>46101.0</v>
      </c>
      <c r="B592" s="4" t="s">
        <v>706</v>
      </c>
      <c r="C592" s="4" t="s">
        <v>1762</v>
      </c>
      <c r="D592" s="15" t="s">
        <v>93</v>
      </c>
      <c r="E592" s="15">
        <v>1.75</v>
      </c>
      <c r="AU592" s="43"/>
      <c r="AX592" s="15" t="s">
        <v>86</v>
      </c>
    </row>
    <row r="593">
      <c r="A593" s="40">
        <v>46101.0</v>
      </c>
      <c r="B593" s="4" t="s">
        <v>706</v>
      </c>
      <c r="C593" s="4" t="s">
        <v>796</v>
      </c>
      <c r="D593" s="15" t="s">
        <v>93</v>
      </c>
      <c r="E593" s="15">
        <v>2.5</v>
      </c>
      <c r="AU593" s="43"/>
      <c r="AX593" s="15" t="s">
        <v>86</v>
      </c>
    </row>
    <row r="594">
      <c r="A594" s="40">
        <v>46101.0</v>
      </c>
      <c r="B594" s="4" t="s">
        <v>706</v>
      </c>
      <c r="C594" s="4" t="s">
        <v>1763</v>
      </c>
      <c r="D594" s="15" t="s">
        <v>93</v>
      </c>
      <c r="E594" s="15">
        <v>2.75</v>
      </c>
      <c r="AU594" s="43"/>
      <c r="AX594" s="15" t="s">
        <v>86</v>
      </c>
    </row>
    <row r="595">
      <c r="A595" s="40">
        <v>46104.0</v>
      </c>
      <c r="B595" s="4" t="s">
        <v>649</v>
      </c>
      <c r="C595" s="4" t="s">
        <v>194</v>
      </c>
      <c r="D595" s="15" t="s">
        <v>53</v>
      </c>
      <c r="E595" s="15">
        <v>0.5</v>
      </c>
      <c r="AU595" s="43"/>
      <c r="AX595" s="15" t="s">
        <v>86</v>
      </c>
    </row>
    <row r="596">
      <c r="A596" s="40">
        <v>46104.0</v>
      </c>
      <c r="B596" s="4" t="s">
        <v>1232</v>
      </c>
      <c r="C596" s="4" t="s">
        <v>259</v>
      </c>
      <c r="D596" s="15" t="s">
        <v>314</v>
      </c>
      <c r="E596" s="15">
        <v>1.0</v>
      </c>
      <c r="AU596" s="43"/>
      <c r="AX596" s="15" t="s">
        <v>86</v>
      </c>
    </row>
    <row r="597">
      <c r="A597" s="40">
        <v>46104.0</v>
      </c>
      <c r="B597" s="4" t="s">
        <v>196</v>
      </c>
      <c r="C597" s="4" t="s">
        <v>291</v>
      </c>
      <c r="D597" s="15" t="s">
        <v>93</v>
      </c>
      <c r="E597" s="15">
        <v>1.5</v>
      </c>
      <c r="AU597" s="43"/>
      <c r="AX597" s="15" t="s">
        <v>86</v>
      </c>
    </row>
    <row r="598">
      <c r="A598" s="40">
        <v>46104.0</v>
      </c>
      <c r="B598" s="4" t="s">
        <v>1305</v>
      </c>
      <c r="C598" s="4" t="s">
        <v>194</v>
      </c>
      <c r="D598" s="15" t="s">
        <v>314</v>
      </c>
      <c r="E598" s="15">
        <v>0.5</v>
      </c>
      <c r="AU598" s="43"/>
      <c r="AX598" s="15" t="s">
        <v>86</v>
      </c>
    </row>
    <row r="599">
      <c r="A599" s="40">
        <v>46104.0</v>
      </c>
      <c r="B599" s="4" t="s">
        <v>1272</v>
      </c>
      <c r="C599" s="4" t="s">
        <v>194</v>
      </c>
      <c r="D599" s="15" t="s">
        <v>314</v>
      </c>
      <c r="E599" s="15">
        <v>0.5</v>
      </c>
      <c r="AU599" s="43"/>
      <c r="AX599" s="15" t="s">
        <v>86</v>
      </c>
    </row>
    <row r="600">
      <c r="A600" s="40">
        <v>46104.0</v>
      </c>
      <c r="B600" s="4" t="s">
        <v>706</v>
      </c>
      <c r="C600" s="4" t="s">
        <v>259</v>
      </c>
      <c r="D600" s="15" t="s">
        <v>93</v>
      </c>
      <c r="E600" s="15">
        <v>1.0</v>
      </c>
      <c r="AU600" s="43"/>
      <c r="AX600" s="15" t="s">
        <v>86</v>
      </c>
    </row>
    <row r="601">
      <c r="A601" s="40">
        <v>46104.0</v>
      </c>
      <c r="B601" s="4" t="s">
        <v>706</v>
      </c>
      <c r="C601" s="4" t="s">
        <v>194</v>
      </c>
      <c r="D601" s="15" t="s">
        <v>93</v>
      </c>
      <c r="E601" s="15">
        <v>0.5</v>
      </c>
      <c r="AU601" s="43"/>
      <c r="AX601" s="15" t="s">
        <v>86</v>
      </c>
    </row>
    <row r="602">
      <c r="A602" s="40">
        <v>46104.0</v>
      </c>
      <c r="B602" s="4" t="s">
        <v>1260</v>
      </c>
      <c r="C602" s="4" t="s">
        <v>194</v>
      </c>
      <c r="D602" s="15" t="s">
        <v>314</v>
      </c>
      <c r="E602" s="15">
        <v>0.5</v>
      </c>
      <c r="AU602" s="43"/>
      <c r="AX602" s="15" t="s">
        <v>86</v>
      </c>
    </row>
    <row r="603">
      <c r="A603" s="40">
        <v>46104.0</v>
      </c>
      <c r="B603" s="4" t="s">
        <v>706</v>
      </c>
      <c r="C603" s="4" t="s">
        <v>259</v>
      </c>
      <c r="D603" s="15" t="s">
        <v>93</v>
      </c>
      <c r="E603" s="15">
        <v>1.0</v>
      </c>
      <c r="AU603" s="43"/>
      <c r="AX603" s="15" t="s">
        <v>86</v>
      </c>
    </row>
    <row r="604">
      <c r="A604" s="40">
        <v>46105.0</v>
      </c>
      <c r="B604" s="4" t="s">
        <v>706</v>
      </c>
      <c r="C604" s="4" t="s">
        <v>259</v>
      </c>
      <c r="D604" s="15" t="s">
        <v>93</v>
      </c>
      <c r="E604" s="15">
        <v>1.0</v>
      </c>
      <c r="AU604" s="43"/>
      <c r="AX604" s="15" t="s">
        <v>86</v>
      </c>
    </row>
    <row r="605">
      <c r="A605" s="40">
        <v>46105.0</v>
      </c>
      <c r="B605" s="4" t="s">
        <v>1232</v>
      </c>
      <c r="C605" s="4" t="s">
        <v>194</v>
      </c>
      <c r="D605" s="15" t="s">
        <v>314</v>
      </c>
      <c r="E605" s="15">
        <v>0.5</v>
      </c>
      <c r="AU605" s="43"/>
      <c r="AX605" s="15" t="s">
        <v>86</v>
      </c>
    </row>
    <row r="606">
      <c r="A606" s="40">
        <v>46105.0</v>
      </c>
      <c r="B606" s="4" t="s">
        <v>1305</v>
      </c>
      <c r="C606" s="4" t="s">
        <v>259</v>
      </c>
      <c r="D606" s="15" t="s">
        <v>314</v>
      </c>
      <c r="E606" s="15">
        <v>1.0</v>
      </c>
      <c r="AU606" s="43"/>
      <c r="AX606" s="15" t="s">
        <v>86</v>
      </c>
    </row>
    <row r="607">
      <c r="A607" s="40">
        <v>46105.0</v>
      </c>
      <c r="B607" s="4" t="s">
        <v>227</v>
      </c>
      <c r="C607" s="4" t="s">
        <v>259</v>
      </c>
      <c r="D607" s="15" t="s">
        <v>53</v>
      </c>
      <c r="E607" s="15">
        <v>1.0</v>
      </c>
      <c r="AU607" s="43"/>
      <c r="AX607" s="15" t="s">
        <v>86</v>
      </c>
    </row>
    <row r="608">
      <c r="A608" s="40">
        <v>46105.0</v>
      </c>
      <c r="B608" s="4" t="s">
        <v>230</v>
      </c>
      <c r="C608" s="4" t="s">
        <v>194</v>
      </c>
      <c r="D608" s="15" t="s">
        <v>53</v>
      </c>
      <c r="E608" s="15">
        <v>0.5</v>
      </c>
      <c r="AU608" s="43"/>
      <c r="AX608" s="15" t="s">
        <v>86</v>
      </c>
    </row>
    <row r="609">
      <c r="A609" s="40">
        <v>46105.0</v>
      </c>
      <c r="B609" s="4" t="s">
        <v>58</v>
      </c>
      <c r="C609" s="4" t="s">
        <v>194</v>
      </c>
      <c r="D609" s="15" t="s">
        <v>38</v>
      </c>
      <c r="E609" s="15">
        <v>0.5</v>
      </c>
      <c r="AU609" s="43"/>
      <c r="AX609" s="15" t="s">
        <v>86</v>
      </c>
    </row>
    <row r="610">
      <c r="A610" s="40">
        <v>46105.0</v>
      </c>
      <c r="B610" s="4" t="s">
        <v>1272</v>
      </c>
      <c r="C610" s="4" t="s">
        <v>194</v>
      </c>
      <c r="D610" s="15" t="s">
        <v>314</v>
      </c>
      <c r="E610" s="15">
        <v>0.5</v>
      </c>
      <c r="AU610" s="43"/>
      <c r="AX610" s="15" t="s">
        <v>86</v>
      </c>
    </row>
    <row r="611">
      <c r="A611" s="40">
        <v>46105.0</v>
      </c>
      <c r="B611" s="4" t="s">
        <v>173</v>
      </c>
      <c r="C611" s="4" t="s">
        <v>194</v>
      </c>
      <c r="D611" s="15" t="s">
        <v>93</v>
      </c>
      <c r="E611" s="15">
        <v>0.5</v>
      </c>
      <c r="AU611" s="43"/>
      <c r="AX611" s="15" t="s">
        <v>86</v>
      </c>
    </row>
    <row r="612">
      <c r="A612" s="40">
        <v>46105.0</v>
      </c>
      <c r="B612" s="4" t="s">
        <v>221</v>
      </c>
      <c r="C612" s="4" t="s">
        <v>259</v>
      </c>
      <c r="D612" s="15" t="s">
        <v>53</v>
      </c>
      <c r="E612" s="15">
        <v>1.0</v>
      </c>
      <c r="AU612" s="43"/>
      <c r="AX612" s="15" t="s">
        <v>86</v>
      </c>
    </row>
    <row r="613">
      <c r="A613" s="40">
        <v>46105.0</v>
      </c>
      <c r="B613" s="4" t="s">
        <v>31</v>
      </c>
      <c r="C613" s="4" t="s">
        <v>194</v>
      </c>
      <c r="D613" s="15" t="s">
        <v>38</v>
      </c>
      <c r="E613" s="15">
        <v>0.5</v>
      </c>
      <c r="AU613" s="43"/>
      <c r="AX613" s="15" t="s">
        <v>86</v>
      </c>
    </row>
    <row r="614">
      <c r="A614" s="40">
        <v>46106.0</v>
      </c>
      <c r="B614" s="4" t="s">
        <v>189</v>
      </c>
      <c r="C614" s="4" t="s">
        <v>194</v>
      </c>
      <c r="D614" s="15" t="s">
        <v>93</v>
      </c>
      <c r="E614" s="15">
        <v>0.5</v>
      </c>
      <c r="AU614" s="43"/>
      <c r="AX614" s="15" t="s">
        <v>86</v>
      </c>
    </row>
    <row r="615">
      <c r="A615" s="40">
        <v>46106.0</v>
      </c>
      <c r="B615" s="4" t="s">
        <v>173</v>
      </c>
      <c r="C615" s="4" t="s">
        <v>194</v>
      </c>
      <c r="D615" s="15" t="s">
        <v>93</v>
      </c>
      <c r="E615" s="15">
        <v>0.5</v>
      </c>
      <c r="AU615" s="43"/>
      <c r="AX615" s="15" t="s">
        <v>86</v>
      </c>
    </row>
    <row r="616">
      <c r="A616" s="40">
        <v>46106.0</v>
      </c>
      <c r="B616" s="4" t="s">
        <v>649</v>
      </c>
      <c r="C616" s="4" t="s">
        <v>194</v>
      </c>
      <c r="D616" s="15" t="s">
        <v>53</v>
      </c>
      <c r="E616" s="15">
        <v>0.5</v>
      </c>
      <c r="AU616" s="43"/>
      <c r="AX616" s="15" t="s">
        <v>86</v>
      </c>
    </row>
    <row r="617">
      <c r="A617" s="40">
        <v>46106.0</v>
      </c>
      <c r="B617" s="4" t="s">
        <v>1232</v>
      </c>
      <c r="C617" s="4" t="s">
        <v>194</v>
      </c>
      <c r="D617" s="15" t="s">
        <v>314</v>
      </c>
      <c r="E617" s="15">
        <v>0.5</v>
      </c>
      <c r="AU617" s="43"/>
      <c r="AX617" s="15" t="s">
        <v>86</v>
      </c>
    </row>
    <row r="618">
      <c r="A618" s="40">
        <v>46106.0</v>
      </c>
      <c r="B618" s="4" t="s">
        <v>1272</v>
      </c>
      <c r="C618" s="4" t="s">
        <v>259</v>
      </c>
      <c r="D618" s="15" t="s">
        <v>314</v>
      </c>
      <c r="E618" s="15">
        <v>1.0</v>
      </c>
      <c r="AU618" s="43"/>
      <c r="AX618" s="15" t="s">
        <v>86</v>
      </c>
    </row>
    <row r="619">
      <c r="A619" s="40">
        <v>46106.0</v>
      </c>
      <c r="B619" s="4" t="s">
        <v>31</v>
      </c>
      <c r="C619" s="4" t="s">
        <v>259</v>
      </c>
      <c r="D619" s="15" t="s">
        <v>38</v>
      </c>
      <c r="E619" s="15">
        <v>1.0</v>
      </c>
      <c r="AU619" s="43"/>
      <c r="AX619" s="15" t="s">
        <v>86</v>
      </c>
    </row>
    <row r="620">
      <c r="A620" s="40">
        <v>46106.0</v>
      </c>
      <c r="B620" s="4" t="s">
        <v>58</v>
      </c>
      <c r="C620" s="4" t="s">
        <v>194</v>
      </c>
      <c r="D620" s="15" t="s">
        <v>38</v>
      </c>
      <c r="E620" s="15">
        <v>0.5</v>
      </c>
      <c r="AU620" s="43"/>
      <c r="AX620" s="15" t="s">
        <v>86</v>
      </c>
    </row>
    <row r="621">
      <c r="A621" s="40">
        <v>46106.0</v>
      </c>
      <c r="B621" s="4" t="s">
        <v>196</v>
      </c>
      <c r="C621" s="4" t="s">
        <v>194</v>
      </c>
      <c r="D621" s="15" t="s">
        <v>93</v>
      </c>
      <c r="E621" s="15">
        <v>0.5</v>
      </c>
      <c r="AU621" s="43"/>
      <c r="AX621" s="15" t="s">
        <v>86</v>
      </c>
    </row>
    <row r="622">
      <c r="A622" s="40">
        <v>46106.0</v>
      </c>
      <c r="B622" s="4" t="s">
        <v>1253</v>
      </c>
      <c r="C622" s="4" t="s">
        <v>259</v>
      </c>
      <c r="D622" s="15" t="s">
        <v>314</v>
      </c>
      <c r="E622" s="15">
        <v>1.0</v>
      </c>
      <c r="AU622" s="43"/>
      <c r="AX622" s="15" t="s">
        <v>86</v>
      </c>
    </row>
    <row r="623">
      <c r="A623" s="40">
        <v>46106.0</v>
      </c>
      <c r="B623" s="4" t="s">
        <v>48</v>
      </c>
      <c r="C623" s="4" t="s">
        <v>194</v>
      </c>
      <c r="D623" s="15" t="s">
        <v>38</v>
      </c>
      <c r="E623" s="15">
        <v>0.5</v>
      </c>
      <c r="AU623" s="43"/>
      <c r="AX623" s="15" t="s">
        <v>86</v>
      </c>
    </row>
    <row r="624">
      <c r="A624" s="40">
        <v>46106.0</v>
      </c>
      <c r="B624" s="4" t="s">
        <v>1232</v>
      </c>
      <c r="C624" s="4" t="s">
        <v>259</v>
      </c>
      <c r="D624" s="15" t="s">
        <v>314</v>
      </c>
      <c r="E624" s="15">
        <v>1.0</v>
      </c>
      <c r="AU624" s="43"/>
      <c r="AX624" s="15" t="s">
        <v>86</v>
      </c>
    </row>
    <row r="625">
      <c r="A625" s="40">
        <v>46106.0</v>
      </c>
      <c r="B625" s="4" t="s">
        <v>1232</v>
      </c>
      <c r="C625" s="4" t="s">
        <v>259</v>
      </c>
      <c r="D625" s="15" t="s">
        <v>314</v>
      </c>
      <c r="E625" s="15">
        <v>1.0</v>
      </c>
      <c r="AU625" s="43"/>
      <c r="AX625" s="15" t="s">
        <v>86</v>
      </c>
    </row>
    <row r="626">
      <c r="A626" s="40">
        <v>46107.0</v>
      </c>
      <c r="B626" s="4" t="s">
        <v>706</v>
      </c>
      <c r="C626" s="4" t="s">
        <v>259</v>
      </c>
      <c r="D626" s="15" t="s">
        <v>93</v>
      </c>
      <c r="E626" s="15">
        <v>1.0</v>
      </c>
      <c r="AU626" s="43"/>
      <c r="AX626" s="15" t="s">
        <v>86</v>
      </c>
    </row>
    <row r="627">
      <c r="A627" s="40">
        <v>46107.0</v>
      </c>
      <c r="B627" s="4" t="s">
        <v>1232</v>
      </c>
      <c r="C627" s="4" t="s">
        <v>259</v>
      </c>
      <c r="D627" s="15" t="s">
        <v>314</v>
      </c>
      <c r="E627" s="15">
        <v>1.0</v>
      </c>
      <c r="AU627" s="43"/>
      <c r="AX627" s="15" t="s">
        <v>86</v>
      </c>
    </row>
    <row r="628">
      <c r="A628" s="40">
        <v>46107.0</v>
      </c>
      <c r="B628" s="4" t="s">
        <v>1232</v>
      </c>
      <c r="C628" s="4" t="s">
        <v>194</v>
      </c>
      <c r="D628" s="15" t="s">
        <v>314</v>
      </c>
      <c r="E628" s="15">
        <v>0.5</v>
      </c>
      <c r="AU628" s="43"/>
      <c r="AX628" s="15" t="s">
        <v>86</v>
      </c>
    </row>
    <row r="629">
      <c r="A629" s="40">
        <v>46107.0</v>
      </c>
      <c r="B629" s="4" t="s">
        <v>1232</v>
      </c>
      <c r="C629" s="4" t="s">
        <v>259</v>
      </c>
      <c r="D629" s="15" t="s">
        <v>314</v>
      </c>
      <c r="E629" s="15">
        <v>1.0</v>
      </c>
      <c r="AU629" s="43"/>
      <c r="AX629" s="15" t="s">
        <v>86</v>
      </c>
    </row>
    <row r="630">
      <c r="A630" s="40">
        <v>46107.0</v>
      </c>
      <c r="B630" s="4" t="s">
        <v>189</v>
      </c>
      <c r="C630" s="4" t="s">
        <v>259</v>
      </c>
      <c r="D630" s="15" t="s">
        <v>93</v>
      </c>
      <c r="E630" s="15">
        <v>1.0</v>
      </c>
      <c r="AU630" s="43"/>
      <c r="AX630" s="15" t="s">
        <v>86</v>
      </c>
    </row>
    <row r="631">
      <c r="A631" s="40">
        <v>46108.0</v>
      </c>
      <c r="B631" s="4" t="s">
        <v>1232</v>
      </c>
      <c r="C631" s="4" t="s">
        <v>194</v>
      </c>
      <c r="D631" s="15" t="s">
        <v>314</v>
      </c>
      <c r="E631" s="15">
        <v>0.5</v>
      </c>
      <c r="AU631" s="43"/>
      <c r="AX631" s="15" t="s">
        <v>86</v>
      </c>
    </row>
    <row r="632">
      <c r="A632" s="40">
        <v>46108.0</v>
      </c>
      <c r="B632" s="4" t="s">
        <v>31</v>
      </c>
      <c r="C632" s="4" t="s">
        <v>194</v>
      </c>
      <c r="D632" s="15" t="s">
        <v>38</v>
      </c>
      <c r="E632" s="15">
        <v>0.5</v>
      </c>
      <c r="AU632" s="43"/>
      <c r="AX632" s="15" t="s">
        <v>86</v>
      </c>
    </row>
    <row r="633">
      <c r="A633" s="40">
        <v>46108.0</v>
      </c>
      <c r="B633" s="4" t="s">
        <v>31</v>
      </c>
      <c r="C633" s="4" t="s">
        <v>194</v>
      </c>
      <c r="D633" s="15" t="s">
        <v>38</v>
      </c>
      <c r="E633" s="15">
        <v>0.5</v>
      </c>
      <c r="AU633" s="43"/>
      <c r="AX633" s="15" t="s">
        <v>86</v>
      </c>
    </row>
    <row r="634">
      <c r="A634" s="40">
        <v>46108.0</v>
      </c>
      <c r="B634" s="4" t="s">
        <v>31</v>
      </c>
      <c r="C634" s="4" t="s">
        <v>194</v>
      </c>
      <c r="D634" s="15" t="s">
        <v>38</v>
      </c>
      <c r="E634" s="15">
        <v>0.5</v>
      </c>
      <c r="AU634" s="43"/>
      <c r="AX634" s="15" t="s">
        <v>86</v>
      </c>
    </row>
    <row r="635">
      <c r="A635" s="40">
        <v>46108.0</v>
      </c>
      <c r="B635" s="4" t="s">
        <v>1232</v>
      </c>
      <c r="C635" s="4" t="s">
        <v>259</v>
      </c>
      <c r="D635" s="15" t="s">
        <v>314</v>
      </c>
      <c r="E635" s="15">
        <v>1.0</v>
      </c>
      <c r="AU635" s="43"/>
      <c r="AX635" s="15" t="s">
        <v>86</v>
      </c>
    </row>
    <row r="636">
      <c r="A636" s="40">
        <v>46108.0</v>
      </c>
      <c r="B636" s="4" t="s">
        <v>31</v>
      </c>
      <c r="C636" s="4" t="s">
        <v>259</v>
      </c>
      <c r="D636" s="15" t="s">
        <v>38</v>
      </c>
      <c r="E636" s="15">
        <v>1.0</v>
      </c>
      <c r="AU636" s="43"/>
      <c r="AX636" s="15" t="s">
        <v>86</v>
      </c>
    </row>
    <row r="637">
      <c r="A637" s="40">
        <v>46108.0</v>
      </c>
      <c r="B637" s="4" t="s">
        <v>221</v>
      </c>
      <c r="C637" s="4" t="s">
        <v>291</v>
      </c>
      <c r="D637" s="15" t="s">
        <v>53</v>
      </c>
      <c r="E637" s="15">
        <v>1.5</v>
      </c>
      <c r="AU637" s="43"/>
      <c r="AX637" s="15" t="s">
        <v>86</v>
      </c>
    </row>
    <row r="638">
      <c r="A638" s="40">
        <v>46108.0</v>
      </c>
      <c r="B638" s="4" t="s">
        <v>1232</v>
      </c>
      <c r="C638" s="4" t="s">
        <v>286</v>
      </c>
      <c r="D638" s="15" t="s">
        <v>314</v>
      </c>
      <c r="E638" s="15">
        <v>0.75</v>
      </c>
      <c r="AU638" s="43"/>
      <c r="AX638" s="15" t="s">
        <v>86</v>
      </c>
    </row>
    <row r="639">
      <c r="A639" s="40">
        <v>46108.0</v>
      </c>
      <c r="B639" s="4" t="s">
        <v>1232</v>
      </c>
      <c r="C639" s="4" t="s">
        <v>259</v>
      </c>
      <c r="D639" s="15" t="s">
        <v>314</v>
      </c>
      <c r="E639" s="15">
        <v>1.0</v>
      </c>
      <c r="AU639" s="43"/>
      <c r="AX639" s="15" t="s">
        <v>86</v>
      </c>
    </row>
    <row r="640">
      <c r="A640" s="40">
        <v>46111.0</v>
      </c>
      <c r="B640" s="4" t="s">
        <v>706</v>
      </c>
      <c r="C640" s="4" t="s">
        <v>194</v>
      </c>
      <c r="D640" s="15" t="s">
        <v>93</v>
      </c>
      <c r="E640" s="15">
        <v>0.5</v>
      </c>
      <c r="AU640" s="43"/>
      <c r="AX640" s="15" t="s">
        <v>86</v>
      </c>
    </row>
    <row r="641">
      <c r="A641" s="40">
        <v>46111.0</v>
      </c>
      <c r="B641" s="4" t="s">
        <v>649</v>
      </c>
      <c r="C641" s="4" t="s">
        <v>194</v>
      </c>
      <c r="D641" s="15" t="s">
        <v>53</v>
      </c>
      <c r="E641" s="15">
        <v>0.5</v>
      </c>
      <c r="AU641" s="43"/>
      <c r="AX641" s="15" t="s">
        <v>86</v>
      </c>
    </row>
    <row r="642">
      <c r="A642" s="40">
        <v>46111.0</v>
      </c>
      <c r="B642" s="4" t="s">
        <v>1232</v>
      </c>
      <c r="C642" s="4" t="s">
        <v>558</v>
      </c>
      <c r="D642" s="15" t="s">
        <v>314</v>
      </c>
      <c r="E642" s="15">
        <v>2.0</v>
      </c>
      <c r="AU642" s="43"/>
      <c r="AX642" s="15" t="s">
        <v>86</v>
      </c>
    </row>
    <row r="643">
      <c r="A643" s="40">
        <v>46111.0</v>
      </c>
      <c r="B643" s="4" t="s">
        <v>31</v>
      </c>
      <c r="C643" s="4" t="s">
        <v>259</v>
      </c>
      <c r="D643" s="15" t="s">
        <v>38</v>
      </c>
      <c r="E643" s="15">
        <v>1.0</v>
      </c>
      <c r="AU643" s="43"/>
      <c r="AX643" s="15" t="s">
        <v>86</v>
      </c>
    </row>
    <row r="644">
      <c r="A644" s="40">
        <v>46111.0</v>
      </c>
      <c r="B644" s="4" t="s">
        <v>1305</v>
      </c>
      <c r="C644" s="4" t="s">
        <v>194</v>
      </c>
      <c r="D644" s="15" t="s">
        <v>314</v>
      </c>
      <c r="E644" s="15">
        <v>0.5</v>
      </c>
      <c r="AU644" s="43"/>
      <c r="AX644" s="15" t="s">
        <v>86</v>
      </c>
    </row>
    <row r="645">
      <c r="A645" s="40">
        <v>46111.0</v>
      </c>
      <c r="B645" s="4" t="s">
        <v>1272</v>
      </c>
      <c r="C645" s="4" t="s">
        <v>194</v>
      </c>
      <c r="D645" s="15" t="s">
        <v>314</v>
      </c>
      <c r="E645" s="15">
        <v>0.5</v>
      </c>
      <c r="AU645" s="43"/>
      <c r="AX645" s="15" t="s">
        <v>86</v>
      </c>
    </row>
    <row r="646">
      <c r="A646" s="40">
        <v>46111.0</v>
      </c>
      <c r="B646" s="4" t="s">
        <v>221</v>
      </c>
      <c r="C646" s="4" t="s">
        <v>194</v>
      </c>
      <c r="D646" s="15" t="s">
        <v>53</v>
      </c>
      <c r="E646" s="15">
        <v>0.5</v>
      </c>
      <c r="AU646" s="43"/>
      <c r="AX646" s="15" t="s">
        <v>86</v>
      </c>
    </row>
    <row r="647">
      <c r="A647" s="40">
        <v>46111.0</v>
      </c>
      <c r="B647" s="4" t="s">
        <v>221</v>
      </c>
      <c r="C647" s="4" t="s">
        <v>291</v>
      </c>
      <c r="D647" s="15" t="s">
        <v>53</v>
      </c>
      <c r="E647" s="15">
        <v>1.5</v>
      </c>
      <c r="AU647" s="43"/>
      <c r="AX647" s="15" t="s">
        <v>86</v>
      </c>
    </row>
    <row r="648">
      <c r="A648" s="40">
        <v>46111.0</v>
      </c>
      <c r="B648" s="4" t="s">
        <v>31</v>
      </c>
      <c r="C648" s="4" t="s">
        <v>558</v>
      </c>
      <c r="D648" s="15" t="s">
        <v>38</v>
      </c>
      <c r="E648" s="15">
        <v>2.0</v>
      </c>
      <c r="AU648" s="43"/>
      <c r="AX648" s="15" t="s">
        <v>86</v>
      </c>
    </row>
    <row r="649">
      <c r="A649" s="40">
        <v>46112.0</v>
      </c>
      <c r="B649" s="4" t="s">
        <v>706</v>
      </c>
      <c r="C649" s="4" t="s">
        <v>259</v>
      </c>
      <c r="D649" s="15" t="s">
        <v>93</v>
      </c>
      <c r="E649" s="15">
        <v>1.0</v>
      </c>
      <c r="AU649" s="43"/>
      <c r="AX649" s="15" t="s">
        <v>86</v>
      </c>
    </row>
    <row r="650">
      <c r="A650" s="40">
        <v>46112.0</v>
      </c>
      <c r="B650" s="4" t="s">
        <v>227</v>
      </c>
      <c r="C650" s="4" t="s">
        <v>291</v>
      </c>
      <c r="D650" s="15" t="s">
        <v>53</v>
      </c>
      <c r="E650" s="15">
        <v>1.5</v>
      </c>
      <c r="AU650" s="43"/>
      <c r="AX650" s="15" t="s">
        <v>86</v>
      </c>
    </row>
    <row r="651">
      <c r="A651" s="40">
        <v>46112.0</v>
      </c>
      <c r="B651" s="4" t="s">
        <v>1232</v>
      </c>
      <c r="C651" s="4" t="s">
        <v>194</v>
      </c>
      <c r="D651" s="15" t="s">
        <v>314</v>
      </c>
      <c r="E651" s="15">
        <v>0.5</v>
      </c>
      <c r="AU651" s="43"/>
      <c r="AX651" s="15" t="s">
        <v>86</v>
      </c>
    </row>
    <row r="652">
      <c r="A652" s="40">
        <v>46112.0</v>
      </c>
      <c r="B652" s="4" t="s">
        <v>31</v>
      </c>
      <c r="C652" s="4" t="s">
        <v>194</v>
      </c>
      <c r="D652" s="15" t="s">
        <v>38</v>
      </c>
      <c r="E652" s="15">
        <v>0.5</v>
      </c>
      <c r="AU652" s="43"/>
      <c r="AX652" s="15" t="s">
        <v>86</v>
      </c>
    </row>
    <row r="653">
      <c r="A653" s="40">
        <v>46112.0</v>
      </c>
      <c r="B653" s="4" t="s">
        <v>31</v>
      </c>
      <c r="C653" s="4" t="s">
        <v>259</v>
      </c>
      <c r="D653" s="15" t="s">
        <v>38</v>
      </c>
      <c r="E653" s="15">
        <v>1.0</v>
      </c>
      <c r="AU653" s="43"/>
      <c r="AX653" s="15" t="s">
        <v>86</v>
      </c>
    </row>
    <row r="654">
      <c r="A654" s="40">
        <v>46112.0</v>
      </c>
      <c r="B654" s="4" t="s">
        <v>58</v>
      </c>
      <c r="C654" s="4" t="s">
        <v>194</v>
      </c>
      <c r="D654" s="15" t="s">
        <v>38</v>
      </c>
      <c r="E654" s="15">
        <v>0.5</v>
      </c>
      <c r="AU654" s="43"/>
      <c r="AX654" s="15" t="s">
        <v>86</v>
      </c>
    </row>
    <row r="655">
      <c r="A655" s="40">
        <v>46112.0</v>
      </c>
      <c r="B655" s="4" t="s">
        <v>1272</v>
      </c>
      <c r="C655" s="4" t="s">
        <v>259</v>
      </c>
      <c r="D655" s="15" t="s">
        <v>314</v>
      </c>
      <c r="E655" s="15">
        <v>1.0</v>
      </c>
      <c r="AU655" s="43"/>
      <c r="AX655" s="15" t="s">
        <v>86</v>
      </c>
    </row>
    <row r="656">
      <c r="A656" s="40">
        <v>46112.0</v>
      </c>
      <c r="B656" s="4" t="s">
        <v>170</v>
      </c>
      <c r="C656" s="4" t="s">
        <v>259</v>
      </c>
      <c r="D656" s="15" t="s">
        <v>93</v>
      </c>
      <c r="E656" s="15">
        <v>1.0</v>
      </c>
      <c r="AU656" s="43"/>
      <c r="AX656" s="15" t="s">
        <v>86</v>
      </c>
    </row>
    <row r="657">
      <c r="A657" s="40">
        <v>46112.0</v>
      </c>
      <c r="B657" s="4" t="s">
        <v>31</v>
      </c>
      <c r="C657" s="4" t="s">
        <v>558</v>
      </c>
      <c r="D657" s="15" t="s">
        <v>38</v>
      </c>
      <c r="E657" s="15">
        <v>2.0</v>
      </c>
      <c r="AU657" s="43"/>
      <c r="AX657" s="15" t="s">
        <v>86</v>
      </c>
    </row>
    <row r="658">
      <c r="A658" s="40">
        <v>46112.0</v>
      </c>
      <c r="B658" s="4" t="s">
        <v>196</v>
      </c>
      <c r="C658" s="4" t="s">
        <v>259</v>
      </c>
      <c r="D658" s="15" t="s">
        <v>93</v>
      </c>
      <c r="E658" s="15">
        <v>1.0</v>
      </c>
      <c r="AU658" s="43"/>
      <c r="AX658" s="15" t="s">
        <v>86</v>
      </c>
    </row>
    <row r="659">
      <c r="A659" s="40">
        <v>46113.0</v>
      </c>
      <c r="B659" s="4" t="s">
        <v>189</v>
      </c>
      <c r="C659" s="4" t="s">
        <v>194</v>
      </c>
      <c r="D659" s="15" t="s">
        <v>93</v>
      </c>
      <c r="E659" s="15">
        <v>0.5</v>
      </c>
      <c r="AU659" s="43"/>
      <c r="AX659" s="15" t="s">
        <v>86</v>
      </c>
    </row>
    <row r="660">
      <c r="A660" s="40">
        <v>46113.0</v>
      </c>
      <c r="B660" s="4" t="s">
        <v>173</v>
      </c>
      <c r="C660" s="4" t="s">
        <v>194</v>
      </c>
      <c r="D660" s="15" t="s">
        <v>93</v>
      </c>
      <c r="E660" s="15">
        <v>0.5</v>
      </c>
      <c r="AU660" s="43"/>
      <c r="AX660" s="15" t="s">
        <v>86</v>
      </c>
    </row>
    <row r="661">
      <c r="A661" s="40">
        <v>46113.0</v>
      </c>
      <c r="B661" s="4" t="s">
        <v>196</v>
      </c>
      <c r="C661" s="4" t="s">
        <v>194</v>
      </c>
      <c r="D661" s="15" t="s">
        <v>93</v>
      </c>
      <c r="E661" s="15">
        <v>0.5</v>
      </c>
      <c r="AU661" s="43"/>
      <c r="AX661" s="15" t="s">
        <v>86</v>
      </c>
    </row>
    <row r="662">
      <c r="A662" s="40">
        <v>46113.0</v>
      </c>
      <c r="B662" s="4" t="s">
        <v>1305</v>
      </c>
      <c r="C662" s="4" t="s">
        <v>194</v>
      </c>
      <c r="D662" s="15" t="s">
        <v>314</v>
      </c>
      <c r="E662" s="15">
        <v>0.5</v>
      </c>
      <c r="AU662" s="43"/>
      <c r="AX662" s="15" t="s">
        <v>86</v>
      </c>
    </row>
    <row r="663">
      <c r="A663" s="40">
        <v>46113.0</v>
      </c>
      <c r="B663" s="4" t="s">
        <v>1272</v>
      </c>
      <c r="C663" s="4" t="s">
        <v>259</v>
      </c>
      <c r="D663" s="15" t="s">
        <v>314</v>
      </c>
      <c r="E663" s="15">
        <v>1.0</v>
      </c>
      <c r="AU663" s="43"/>
      <c r="AX663" s="15" t="s">
        <v>86</v>
      </c>
    </row>
    <row r="664">
      <c r="A664" s="40">
        <v>46118.0</v>
      </c>
      <c r="B664" s="4" t="s">
        <v>649</v>
      </c>
      <c r="C664" s="4" t="s">
        <v>194</v>
      </c>
      <c r="D664" s="15" t="s">
        <v>53</v>
      </c>
      <c r="E664" s="15">
        <v>0.5</v>
      </c>
      <c r="AU664" s="43"/>
      <c r="AX664" s="15" t="s">
        <v>86</v>
      </c>
    </row>
    <row r="665">
      <c r="A665" s="40">
        <v>46113.0</v>
      </c>
      <c r="B665" s="4" t="s">
        <v>196</v>
      </c>
      <c r="C665" s="4" t="s">
        <v>259</v>
      </c>
      <c r="D665" s="15" t="s">
        <v>93</v>
      </c>
      <c r="E665" s="15">
        <v>1.0</v>
      </c>
      <c r="AU665" s="43"/>
      <c r="AX665" s="15" t="s">
        <v>86</v>
      </c>
    </row>
    <row r="666">
      <c r="A666" s="40">
        <v>46113.0</v>
      </c>
      <c r="B666" s="4" t="s">
        <v>63</v>
      </c>
      <c r="C666" s="4" t="s">
        <v>194</v>
      </c>
      <c r="D666" s="15" t="s">
        <v>38</v>
      </c>
      <c r="E666" s="15">
        <v>0.5</v>
      </c>
      <c r="AU666" s="43"/>
      <c r="AX666" s="15" t="s">
        <v>86</v>
      </c>
    </row>
    <row r="667">
      <c r="A667" s="40">
        <v>46113.0</v>
      </c>
      <c r="B667" s="4" t="s">
        <v>196</v>
      </c>
      <c r="C667" s="4" t="s">
        <v>194</v>
      </c>
      <c r="D667" s="15" t="s">
        <v>93</v>
      </c>
      <c r="E667" s="15">
        <v>0.5</v>
      </c>
      <c r="AU667" s="43"/>
      <c r="AX667" s="15" t="s">
        <v>86</v>
      </c>
    </row>
    <row r="668">
      <c r="A668" s="40">
        <v>46113.0</v>
      </c>
      <c r="B668" s="4" t="s">
        <v>63</v>
      </c>
      <c r="C668" s="4" t="s">
        <v>259</v>
      </c>
      <c r="D668" s="15" t="s">
        <v>38</v>
      </c>
      <c r="E668" s="15">
        <v>1.0</v>
      </c>
      <c r="AU668" s="43"/>
      <c r="AX668" s="15" t="s">
        <v>86</v>
      </c>
    </row>
    <row r="669">
      <c r="A669" s="40">
        <v>46113.0</v>
      </c>
      <c r="B669" s="4" t="s">
        <v>196</v>
      </c>
      <c r="C669" s="4" t="s">
        <v>194</v>
      </c>
      <c r="D669" s="15" t="s">
        <v>93</v>
      </c>
      <c r="E669" s="15">
        <v>0.5</v>
      </c>
      <c r="AU669" s="43"/>
      <c r="AX669" s="15" t="s">
        <v>86</v>
      </c>
    </row>
    <row r="670">
      <c r="A670" s="40">
        <v>46113.0</v>
      </c>
      <c r="B670" s="4" t="s">
        <v>1204</v>
      </c>
      <c r="C670" s="4" t="s">
        <v>558</v>
      </c>
      <c r="D670" s="15" t="s">
        <v>314</v>
      </c>
      <c r="E670" s="15">
        <v>2.0</v>
      </c>
      <c r="AU670" s="43"/>
      <c r="AX670" s="15" t="s">
        <v>86</v>
      </c>
    </row>
    <row r="671">
      <c r="A671" s="40">
        <v>46114.0</v>
      </c>
      <c r="B671" s="4" t="s">
        <v>1204</v>
      </c>
      <c r="C671" s="4" t="s">
        <v>558</v>
      </c>
      <c r="D671" s="15" t="s">
        <v>314</v>
      </c>
      <c r="E671" s="15">
        <v>2.0</v>
      </c>
      <c r="AU671" s="43"/>
      <c r="AX671" s="15" t="s">
        <v>86</v>
      </c>
    </row>
    <row r="672">
      <c r="A672" s="40">
        <v>46120.0</v>
      </c>
      <c r="B672" s="4" t="s">
        <v>649</v>
      </c>
      <c r="C672" s="4" t="s">
        <v>194</v>
      </c>
      <c r="D672" s="15" t="s">
        <v>53</v>
      </c>
      <c r="E672" s="15">
        <v>0.5</v>
      </c>
      <c r="AU672" s="43"/>
      <c r="AX672" s="15" t="s">
        <v>86</v>
      </c>
    </row>
    <row r="673">
      <c r="A673" s="40">
        <v>46114.0</v>
      </c>
      <c r="B673" s="4" t="s">
        <v>189</v>
      </c>
      <c r="C673" s="4" t="s">
        <v>259</v>
      </c>
      <c r="D673" s="15" t="s">
        <v>93</v>
      </c>
      <c r="E673" s="15">
        <v>1.0</v>
      </c>
      <c r="AU673" s="43"/>
      <c r="AX673" s="15" t="s">
        <v>86</v>
      </c>
    </row>
    <row r="674">
      <c r="A674" s="40">
        <v>46114.0</v>
      </c>
      <c r="B674" s="4" t="s">
        <v>31</v>
      </c>
      <c r="C674" s="4" t="s">
        <v>194</v>
      </c>
      <c r="D674" s="15" t="s">
        <v>38</v>
      </c>
      <c r="E674" s="15">
        <v>0.5</v>
      </c>
      <c r="AU674" s="43"/>
      <c r="AX674" s="15" t="s">
        <v>86</v>
      </c>
    </row>
    <row r="675">
      <c r="A675" s="40">
        <v>46114.0</v>
      </c>
      <c r="B675" s="4" t="s">
        <v>58</v>
      </c>
      <c r="C675" s="4" t="s">
        <v>194</v>
      </c>
      <c r="D675" s="15" t="s">
        <v>38</v>
      </c>
      <c r="E675" s="15">
        <v>0.5</v>
      </c>
      <c r="AU675" s="43"/>
      <c r="AX675" s="15" t="s">
        <v>86</v>
      </c>
    </row>
    <row r="676">
      <c r="A676" s="40">
        <v>46114.0</v>
      </c>
      <c r="B676" s="4" t="s">
        <v>1272</v>
      </c>
      <c r="C676" s="4" t="s">
        <v>194</v>
      </c>
      <c r="D676" s="15" t="s">
        <v>314</v>
      </c>
      <c r="E676" s="15">
        <v>0.5</v>
      </c>
      <c r="AU676" s="43"/>
      <c r="AX676" s="15" t="s">
        <v>86</v>
      </c>
    </row>
    <row r="677">
      <c r="A677" s="40">
        <v>46114.0</v>
      </c>
      <c r="B677" s="4" t="s">
        <v>189</v>
      </c>
      <c r="C677" s="4" t="s">
        <v>194</v>
      </c>
      <c r="D677" s="15" t="s">
        <v>93</v>
      </c>
      <c r="E677" s="15">
        <v>0.5</v>
      </c>
      <c r="AU677" s="43"/>
      <c r="AX677" s="15" t="s">
        <v>86</v>
      </c>
    </row>
    <row r="678">
      <c r="A678" s="40">
        <v>46114.0</v>
      </c>
      <c r="B678" s="4" t="s">
        <v>1204</v>
      </c>
      <c r="C678" s="4" t="s">
        <v>291</v>
      </c>
      <c r="D678" s="15" t="s">
        <v>314</v>
      </c>
      <c r="E678" s="15">
        <v>1.5</v>
      </c>
      <c r="AU678" s="43"/>
      <c r="AX678" s="15" t="s">
        <v>86</v>
      </c>
    </row>
    <row r="679">
      <c r="A679" s="40">
        <v>46115.0</v>
      </c>
      <c r="B679" s="4" t="s">
        <v>189</v>
      </c>
      <c r="C679" s="4" t="s">
        <v>194</v>
      </c>
      <c r="D679" s="15" t="s">
        <v>93</v>
      </c>
      <c r="E679" s="15">
        <v>0.5</v>
      </c>
      <c r="AU679" s="43"/>
      <c r="AX679" s="15" t="s">
        <v>86</v>
      </c>
    </row>
    <row r="680">
      <c r="A680" s="40">
        <v>46115.0</v>
      </c>
      <c r="B680" s="4" t="s">
        <v>63</v>
      </c>
      <c r="C680" s="4" t="s">
        <v>291</v>
      </c>
      <c r="D680" s="15" t="s">
        <v>38</v>
      </c>
      <c r="E680" s="15">
        <v>1.5</v>
      </c>
      <c r="AU680" s="43"/>
      <c r="AX680" s="15" t="s">
        <v>86</v>
      </c>
    </row>
    <row r="681">
      <c r="A681" s="40">
        <v>46113.0</v>
      </c>
      <c r="B681" s="4" t="s">
        <v>637</v>
      </c>
      <c r="C681" s="4" t="s">
        <v>194</v>
      </c>
      <c r="D681" s="15" t="s">
        <v>53</v>
      </c>
      <c r="E681" s="15">
        <v>0.5</v>
      </c>
      <c r="AU681" s="43"/>
      <c r="AX681" s="15" t="s">
        <v>86</v>
      </c>
    </row>
    <row r="682">
      <c r="A682" s="40">
        <v>46115.0</v>
      </c>
      <c r="B682" s="4" t="s">
        <v>1204</v>
      </c>
      <c r="C682" s="4" t="s">
        <v>796</v>
      </c>
      <c r="D682" s="15" t="s">
        <v>314</v>
      </c>
      <c r="E682" s="15">
        <v>2.5</v>
      </c>
      <c r="AU682" s="43"/>
      <c r="AX682" s="15" t="s">
        <v>86</v>
      </c>
    </row>
    <row r="683">
      <c r="A683" s="40">
        <v>46115.0</v>
      </c>
      <c r="B683" s="4" t="s">
        <v>63</v>
      </c>
      <c r="C683" s="4" t="s">
        <v>796</v>
      </c>
      <c r="D683" s="15" t="s">
        <v>38</v>
      </c>
      <c r="E683" s="15">
        <v>2.5</v>
      </c>
      <c r="AU683" s="43"/>
      <c r="AX683" s="15" t="s">
        <v>86</v>
      </c>
    </row>
    <row r="684">
      <c r="A684" s="40">
        <v>46121.0</v>
      </c>
      <c r="B684" s="4" t="s">
        <v>637</v>
      </c>
      <c r="C684" s="4" t="s">
        <v>194</v>
      </c>
      <c r="D684" s="15" t="s">
        <v>53</v>
      </c>
      <c r="E684" s="15">
        <v>0.5</v>
      </c>
      <c r="AU684" s="43"/>
      <c r="AX684" s="15" t="s">
        <v>86</v>
      </c>
    </row>
    <row r="685">
      <c r="A685" s="40">
        <v>46118.0</v>
      </c>
      <c r="B685" s="4" t="s">
        <v>63</v>
      </c>
      <c r="C685" s="4" t="s">
        <v>558</v>
      </c>
      <c r="D685" s="15" t="s">
        <v>38</v>
      </c>
      <c r="E685" s="15">
        <v>2.0</v>
      </c>
      <c r="AU685" s="43"/>
      <c r="AX685" s="15" t="s">
        <v>86</v>
      </c>
    </row>
    <row r="686">
      <c r="A686" s="40">
        <v>46118.0</v>
      </c>
      <c r="B686" s="4" t="s">
        <v>1204</v>
      </c>
      <c r="C686" s="4" t="s">
        <v>291</v>
      </c>
      <c r="D686" s="15" t="s">
        <v>314</v>
      </c>
      <c r="E686" s="15">
        <v>1.5</v>
      </c>
      <c r="AU686" s="43"/>
      <c r="AX686" s="15" t="s">
        <v>86</v>
      </c>
    </row>
    <row r="687">
      <c r="A687" s="40">
        <v>46118.0</v>
      </c>
      <c r="B687" s="4" t="s">
        <v>1272</v>
      </c>
      <c r="C687" s="4" t="s">
        <v>194</v>
      </c>
      <c r="D687" s="15" t="s">
        <v>314</v>
      </c>
      <c r="E687" s="15">
        <v>0.5</v>
      </c>
      <c r="AU687" s="43"/>
      <c r="AX687" s="15" t="s">
        <v>86</v>
      </c>
    </row>
    <row r="688">
      <c r="A688" s="40">
        <v>46118.0</v>
      </c>
      <c r="B688" s="4" t="s">
        <v>63</v>
      </c>
      <c r="C688" s="4" t="s">
        <v>194</v>
      </c>
      <c r="D688" s="15" t="s">
        <v>38</v>
      </c>
      <c r="E688" s="15">
        <v>0.5</v>
      </c>
      <c r="AU688" s="43"/>
      <c r="AX688" s="15" t="s">
        <v>86</v>
      </c>
    </row>
    <row r="689">
      <c r="A689" s="40">
        <v>46118.0</v>
      </c>
      <c r="B689" s="4" t="s">
        <v>63</v>
      </c>
      <c r="C689" s="4" t="s">
        <v>259</v>
      </c>
      <c r="D689" s="15" t="s">
        <v>38</v>
      </c>
      <c r="E689" s="15">
        <v>1.0</v>
      </c>
      <c r="AU689" s="43"/>
      <c r="AX689" s="15" t="s">
        <v>86</v>
      </c>
    </row>
    <row r="690">
      <c r="A690" s="40">
        <v>46118.0</v>
      </c>
      <c r="B690" s="4" t="s">
        <v>1204</v>
      </c>
      <c r="C690" s="4" t="s">
        <v>1669</v>
      </c>
      <c r="D690" s="15" t="s">
        <v>314</v>
      </c>
      <c r="E690" s="15">
        <v>1.25</v>
      </c>
      <c r="AU690" s="43"/>
      <c r="AX690" s="15" t="s">
        <v>86</v>
      </c>
    </row>
    <row r="691">
      <c r="A691" s="40">
        <v>46118.0</v>
      </c>
      <c r="B691" s="4" t="s">
        <v>31</v>
      </c>
      <c r="C691" s="4" t="s">
        <v>194</v>
      </c>
      <c r="D691" s="15" t="s">
        <v>38</v>
      </c>
      <c r="E691" s="15">
        <v>0.5</v>
      </c>
      <c r="AU691" s="43"/>
      <c r="AX691" s="15" t="s">
        <v>86</v>
      </c>
    </row>
    <row r="692">
      <c r="A692" s="40">
        <v>46119.0</v>
      </c>
      <c r="B692" s="4" t="s">
        <v>1505</v>
      </c>
      <c r="C692" s="4" t="s">
        <v>259</v>
      </c>
      <c r="D692" s="15" t="s">
        <v>38</v>
      </c>
      <c r="E692" s="15">
        <v>1.0</v>
      </c>
      <c r="AU692" s="43"/>
      <c r="AX692" s="15" t="s">
        <v>86</v>
      </c>
    </row>
    <row r="693">
      <c r="A693" s="40">
        <v>46114.0</v>
      </c>
      <c r="B693" s="4" t="s">
        <v>212</v>
      </c>
      <c r="C693" s="4" t="s">
        <v>259</v>
      </c>
      <c r="D693" s="15" t="s">
        <v>53</v>
      </c>
      <c r="E693" s="15">
        <v>1.0</v>
      </c>
      <c r="AU693" s="43"/>
      <c r="AX693" s="15" t="s">
        <v>86</v>
      </c>
    </row>
    <row r="694">
      <c r="A694" s="40">
        <v>46119.0</v>
      </c>
      <c r="B694" s="4" t="s">
        <v>1204</v>
      </c>
      <c r="C694" s="4" t="s">
        <v>1669</v>
      </c>
      <c r="D694" s="15" t="s">
        <v>314</v>
      </c>
      <c r="E694" s="15">
        <v>1.25</v>
      </c>
      <c r="AU694" s="43"/>
      <c r="AX694" s="15" t="s">
        <v>86</v>
      </c>
    </row>
    <row r="695">
      <c r="A695" s="40">
        <v>46119.0</v>
      </c>
      <c r="B695" s="4" t="s">
        <v>48</v>
      </c>
      <c r="C695" s="4" t="s">
        <v>194</v>
      </c>
      <c r="D695" s="15" t="s">
        <v>38</v>
      </c>
      <c r="E695" s="15">
        <v>0.5</v>
      </c>
      <c r="AU695" s="43"/>
      <c r="AX695" s="15" t="s">
        <v>86</v>
      </c>
    </row>
    <row r="696">
      <c r="A696" s="40">
        <v>46119.0</v>
      </c>
      <c r="B696" s="4" t="s">
        <v>31</v>
      </c>
      <c r="C696" s="4" t="s">
        <v>194</v>
      </c>
      <c r="D696" s="15" t="s">
        <v>38</v>
      </c>
      <c r="E696" s="15">
        <v>0.5</v>
      </c>
      <c r="AU696" s="43"/>
      <c r="AX696" s="15" t="s">
        <v>86</v>
      </c>
    </row>
    <row r="697">
      <c r="A697" s="40">
        <v>46119.0</v>
      </c>
      <c r="B697" s="4" t="s">
        <v>1204</v>
      </c>
      <c r="C697" s="4" t="s">
        <v>194</v>
      </c>
      <c r="D697" s="15" t="s">
        <v>314</v>
      </c>
      <c r="E697" s="15">
        <v>0.5</v>
      </c>
      <c r="AU697" s="43"/>
      <c r="AX697" s="15" t="s">
        <v>86</v>
      </c>
    </row>
    <row r="698">
      <c r="A698" s="40">
        <v>46119.0</v>
      </c>
      <c r="B698" s="4" t="s">
        <v>58</v>
      </c>
      <c r="C698" s="4" t="s">
        <v>194</v>
      </c>
      <c r="D698" s="15" t="s">
        <v>38</v>
      </c>
      <c r="E698" s="15">
        <v>0.5</v>
      </c>
      <c r="AU698" s="43"/>
      <c r="AX698" s="15" t="s">
        <v>86</v>
      </c>
    </row>
    <row r="699">
      <c r="A699" s="40">
        <v>46119.0</v>
      </c>
      <c r="B699" s="4" t="s">
        <v>1272</v>
      </c>
      <c r="C699" s="4" t="s">
        <v>194</v>
      </c>
      <c r="D699" s="15" t="s">
        <v>314</v>
      </c>
      <c r="E699" s="15">
        <v>0.5</v>
      </c>
      <c r="AU699" s="43"/>
      <c r="AX699" s="15" t="s">
        <v>86</v>
      </c>
    </row>
    <row r="700">
      <c r="A700" s="40">
        <v>46119.0</v>
      </c>
      <c r="B700" s="4" t="s">
        <v>1204</v>
      </c>
      <c r="C700" s="4" t="s">
        <v>259</v>
      </c>
      <c r="D700" s="15" t="s">
        <v>314</v>
      </c>
      <c r="E700" s="15">
        <v>1.0</v>
      </c>
      <c r="AU700" s="43"/>
      <c r="AX700" s="15" t="s">
        <v>86</v>
      </c>
    </row>
    <row r="701">
      <c r="A701" s="40">
        <v>46115.0</v>
      </c>
      <c r="B701" s="4" t="s">
        <v>218</v>
      </c>
      <c r="C701" s="4" t="s">
        <v>291</v>
      </c>
      <c r="D701" s="15" t="s">
        <v>53</v>
      </c>
      <c r="E701" s="15">
        <v>1.5</v>
      </c>
      <c r="AU701" s="43"/>
      <c r="AX701" s="15" t="s">
        <v>86</v>
      </c>
    </row>
    <row r="702">
      <c r="A702" s="40">
        <v>46119.0</v>
      </c>
      <c r="B702" s="4" t="s">
        <v>1204</v>
      </c>
      <c r="C702" s="4" t="s">
        <v>1669</v>
      </c>
      <c r="D702" s="15" t="s">
        <v>314</v>
      </c>
      <c r="E702" s="15">
        <v>1.25</v>
      </c>
      <c r="AU702" s="43"/>
      <c r="AX702" s="15" t="s">
        <v>86</v>
      </c>
    </row>
    <row r="703">
      <c r="A703" s="40">
        <v>46119.0</v>
      </c>
      <c r="B703" s="4" t="s">
        <v>63</v>
      </c>
      <c r="C703" s="4" t="s">
        <v>259</v>
      </c>
      <c r="D703" s="15" t="s">
        <v>38</v>
      </c>
      <c r="E703" s="15">
        <v>1.0</v>
      </c>
      <c r="AU703" s="43"/>
      <c r="AX703" s="15" t="s">
        <v>86</v>
      </c>
    </row>
    <row r="704">
      <c r="A704" s="40">
        <v>46120.0</v>
      </c>
      <c r="B704" s="4" t="s">
        <v>189</v>
      </c>
      <c r="C704" s="4" t="s">
        <v>259</v>
      </c>
      <c r="D704" s="15" t="s">
        <v>93</v>
      </c>
      <c r="E704" s="15">
        <v>1.0</v>
      </c>
      <c r="AU704" s="43"/>
      <c r="AX704" s="15" t="s">
        <v>86</v>
      </c>
    </row>
    <row r="705">
      <c r="A705" s="40">
        <v>46120.0</v>
      </c>
      <c r="B705" s="4" t="s">
        <v>84</v>
      </c>
      <c r="C705" s="4" t="s">
        <v>259</v>
      </c>
      <c r="D705" s="15" t="s">
        <v>38</v>
      </c>
      <c r="E705" s="15">
        <v>1.0</v>
      </c>
      <c r="AU705" s="43"/>
      <c r="AX705" s="15" t="s">
        <v>86</v>
      </c>
    </row>
    <row r="706">
      <c r="A706" s="40">
        <v>46120.0</v>
      </c>
      <c r="B706" s="4" t="s">
        <v>173</v>
      </c>
      <c r="C706" s="4" t="s">
        <v>194</v>
      </c>
      <c r="D706" s="15" t="s">
        <v>93</v>
      </c>
      <c r="E706" s="15">
        <v>0.5</v>
      </c>
      <c r="AU706" s="43"/>
      <c r="AX706" s="15" t="s">
        <v>86</v>
      </c>
    </row>
    <row r="707">
      <c r="A707" s="40">
        <v>46120.0</v>
      </c>
      <c r="B707" s="4" t="s">
        <v>1204</v>
      </c>
      <c r="C707" s="4" t="s">
        <v>194</v>
      </c>
      <c r="D707" s="15" t="s">
        <v>314</v>
      </c>
      <c r="E707" s="15">
        <v>0.5</v>
      </c>
      <c r="AU707" s="43"/>
      <c r="AX707" s="15" t="s">
        <v>86</v>
      </c>
    </row>
    <row r="708">
      <c r="A708" s="40">
        <v>46120.0</v>
      </c>
      <c r="B708" s="4" t="s">
        <v>1272</v>
      </c>
      <c r="C708" s="4" t="s">
        <v>259</v>
      </c>
      <c r="D708" s="15" t="s">
        <v>314</v>
      </c>
      <c r="E708" s="15">
        <v>1.0</v>
      </c>
      <c r="AU708" s="43"/>
      <c r="AX708" s="15" t="s">
        <v>86</v>
      </c>
    </row>
    <row r="709">
      <c r="A709" s="40">
        <v>46120.0</v>
      </c>
      <c r="B709" s="4" t="s">
        <v>58</v>
      </c>
      <c r="C709" s="4" t="s">
        <v>194</v>
      </c>
      <c r="D709" s="15" t="s">
        <v>38</v>
      </c>
      <c r="E709" s="15">
        <v>0.5</v>
      </c>
      <c r="AU709" s="43"/>
      <c r="AX709" s="15" t="s">
        <v>86</v>
      </c>
    </row>
    <row r="710">
      <c r="A710" s="40">
        <v>46119.0</v>
      </c>
      <c r="B710" s="4" t="s">
        <v>218</v>
      </c>
      <c r="C710" s="4" t="s">
        <v>286</v>
      </c>
      <c r="D710" s="15" t="s">
        <v>53</v>
      </c>
      <c r="E710" s="15">
        <v>0.75</v>
      </c>
      <c r="AU710" s="43"/>
      <c r="AX710" s="15" t="s">
        <v>86</v>
      </c>
    </row>
    <row r="711">
      <c r="A711" s="40">
        <v>46120.0</v>
      </c>
      <c r="B711" s="4" t="s">
        <v>218</v>
      </c>
      <c r="C711" s="4" t="s">
        <v>194</v>
      </c>
      <c r="D711" s="15" t="s">
        <v>53</v>
      </c>
      <c r="E711" s="15">
        <v>0.5</v>
      </c>
      <c r="AU711" s="43"/>
      <c r="AX711" s="15" t="s">
        <v>86</v>
      </c>
    </row>
    <row r="712">
      <c r="A712" s="40">
        <v>46120.0</v>
      </c>
      <c r="B712" s="4" t="s">
        <v>1204</v>
      </c>
      <c r="C712" s="4" t="s">
        <v>259</v>
      </c>
      <c r="D712" s="15" t="s">
        <v>314</v>
      </c>
      <c r="E712" s="15">
        <v>1.0</v>
      </c>
      <c r="AU712" s="43"/>
      <c r="AX712" s="15" t="s">
        <v>86</v>
      </c>
    </row>
    <row r="713">
      <c r="A713" s="40">
        <v>46120.0</v>
      </c>
      <c r="B713" s="4" t="s">
        <v>78</v>
      </c>
      <c r="C713" s="4" t="s">
        <v>194</v>
      </c>
      <c r="D713" s="15" t="s">
        <v>38</v>
      </c>
      <c r="E713" s="15">
        <v>0.5</v>
      </c>
      <c r="AU713" s="43"/>
      <c r="AX713" s="15" t="s">
        <v>86</v>
      </c>
    </row>
    <row r="714">
      <c r="A714" s="40">
        <v>46120.0</v>
      </c>
      <c r="B714" s="4" t="s">
        <v>1204</v>
      </c>
      <c r="C714" s="4" t="s">
        <v>291</v>
      </c>
      <c r="D714" s="15" t="s">
        <v>314</v>
      </c>
      <c r="E714" s="15">
        <v>1.5</v>
      </c>
      <c r="AU714" s="43"/>
      <c r="AX714" s="15" t="s">
        <v>86</v>
      </c>
    </row>
    <row r="715">
      <c r="A715" s="40">
        <v>46121.0</v>
      </c>
      <c r="B715" s="4" t="s">
        <v>218</v>
      </c>
      <c r="C715" s="4" t="s">
        <v>259</v>
      </c>
      <c r="D715" s="15" t="s">
        <v>53</v>
      </c>
      <c r="E715" s="15">
        <v>1.0</v>
      </c>
      <c r="AU715" s="43"/>
      <c r="AX715" s="15" t="s">
        <v>86</v>
      </c>
    </row>
    <row r="716">
      <c r="A716" s="40">
        <v>46121.0</v>
      </c>
      <c r="B716" s="4" t="s">
        <v>48</v>
      </c>
      <c r="C716" s="4" t="s">
        <v>194</v>
      </c>
      <c r="D716" s="15" t="s">
        <v>38</v>
      </c>
      <c r="E716" s="15">
        <v>0.5</v>
      </c>
      <c r="AU716" s="43"/>
      <c r="AX716" s="15" t="s">
        <v>86</v>
      </c>
    </row>
    <row r="717">
      <c r="A717" s="40">
        <v>46121.0</v>
      </c>
      <c r="B717" s="4" t="s">
        <v>1305</v>
      </c>
      <c r="C717" s="4" t="s">
        <v>194</v>
      </c>
      <c r="D717" s="15" t="s">
        <v>314</v>
      </c>
      <c r="E717" s="15">
        <v>0.5</v>
      </c>
      <c r="AU717" s="43"/>
      <c r="AX717" s="15" t="s">
        <v>86</v>
      </c>
    </row>
    <row r="718">
      <c r="A718" s="40">
        <v>46121.0</v>
      </c>
      <c r="B718" s="4" t="s">
        <v>218</v>
      </c>
      <c r="C718" s="4" t="s">
        <v>259</v>
      </c>
      <c r="D718" s="15" t="s">
        <v>53</v>
      </c>
      <c r="E718" s="15">
        <v>1.0</v>
      </c>
      <c r="AU718" s="43"/>
      <c r="AX718" s="15" t="s">
        <v>86</v>
      </c>
    </row>
    <row r="719">
      <c r="A719" s="40">
        <v>46121.0</v>
      </c>
      <c r="B719" s="4" t="s">
        <v>48</v>
      </c>
      <c r="C719" s="4" t="s">
        <v>194</v>
      </c>
      <c r="D719" s="15" t="s">
        <v>38</v>
      </c>
      <c r="E719" s="15">
        <v>0.5</v>
      </c>
      <c r="AU719" s="43"/>
      <c r="AX719" s="15" t="s">
        <v>86</v>
      </c>
    </row>
    <row r="720">
      <c r="A720" s="40">
        <v>46122.0</v>
      </c>
      <c r="B720" s="4" t="s">
        <v>218</v>
      </c>
      <c r="C720" s="4" t="s">
        <v>291</v>
      </c>
      <c r="D720" s="15" t="s">
        <v>53</v>
      </c>
      <c r="E720" s="15">
        <v>1.5</v>
      </c>
      <c r="AU720" s="43"/>
      <c r="AX720" s="15" t="s">
        <v>86</v>
      </c>
    </row>
    <row r="721">
      <c r="A721" s="40">
        <v>46121.0</v>
      </c>
      <c r="B721" s="4" t="s">
        <v>176</v>
      </c>
      <c r="C721" s="4" t="s">
        <v>420</v>
      </c>
      <c r="D721" s="15" t="s">
        <v>93</v>
      </c>
      <c r="E721" s="15">
        <v>0.25</v>
      </c>
      <c r="AU721" s="43"/>
      <c r="AX721" s="15" t="s">
        <v>86</v>
      </c>
    </row>
    <row r="722">
      <c r="A722" s="40">
        <v>46121.0</v>
      </c>
      <c r="B722" s="4" t="s">
        <v>1272</v>
      </c>
      <c r="C722" s="4" t="s">
        <v>194</v>
      </c>
      <c r="D722" s="15" t="s">
        <v>314</v>
      </c>
      <c r="E722" s="15">
        <v>0.5</v>
      </c>
      <c r="AU722" s="43"/>
      <c r="AX722" s="15" t="s">
        <v>86</v>
      </c>
    </row>
    <row r="723">
      <c r="A723" s="40">
        <v>46121.0</v>
      </c>
      <c r="B723" s="4" t="s">
        <v>1204</v>
      </c>
      <c r="C723" s="4" t="s">
        <v>194</v>
      </c>
      <c r="D723" s="15" t="s">
        <v>314</v>
      </c>
      <c r="E723" s="15">
        <v>0.5</v>
      </c>
      <c r="AU723" s="43"/>
      <c r="AX723" s="15" t="s">
        <v>86</v>
      </c>
    </row>
    <row r="724">
      <c r="A724" s="40">
        <v>46121.0</v>
      </c>
      <c r="B724" s="4" t="s">
        <v>170</v>
      </c>
      <c r="C724" s="4" t="s">
        <v>194</v>
      </c>
      <c r="D724" s="15" t="s">
        <v>93</v>
      </c>
      <c r="E724" s="15">
        <v>0.5</v>
      </c>
      <c r="AU724" s="43"/>
      <c r="AX724" s="15" t="s">
        <v>86</v>
      </c>
    </row>
    <row r="725">
      <c r="A725" s="40">
        <v>46121.0</v>
      </c>
      <c r="B725" s="4" t="s">
        <v>1204</v>
      </c>
      <c r="C725" s="4" t="s">
        <v>259</v>
      </c>
      <c r="D725" s="15" t="s">
        <v>314</v>
      </c>
      <c r="E725" s="15">
        <v>1.0</v>
      </c>
      <c r="AU725" s="43"/>
      <c r="AX725" s="15" t="s">
        <v>86</v>
      </c>
    </row>
    <row r="726">
      <c r="A726" s="40">
        <v>46122.0</v>
      </c>
      <c r="B726" s="4" t="s">
        <v>1204</v>
      </c>
      <c r="C726" s="4" t="s">
        <v>259</v>
      </c>
      <c r="D726" s="15" t="s">
        <v>314</v>
      </c>
      <c r="E726" s="15">
        <v>1.0</v>
      </c>
      <c r="AU726" s="43"/>
      <c r="AX726" s="15" t="s">
        <v>86</v>
      </c>
    </row>
    <row r="727">
      <c r="A727" s="40">
        <v>46122.0</v>
      </c>
      <c r="B727" s="4" t="s">
        <v>1530</v>
      </c>
      <c r="C727" s="4" t="s">
        <v>558</v>
      </c>
      <c r="D727" s="15" t="s">
        <v>38</v>
      </c>
      <c r="E727" s="15">
        <v>2.0</v>
      </c>
      <c r="AU727" s="43"/>
      <c r="AX727" s="15" t="s">
        <v>86</v>
      </c>
    </row>
    <row r="728">
      <c r="A728" s="40">
        <v>46122.0</v>
      </c>
      <c r="B728" s="4" t="s">
        <v>1204</v>
      </c>
      <c r="C728" s="4" t="s">
        <v>558</v>
      </c>
      <c r="D728" s="15" t="s">
        <v>314</v>
      </c>
      <c r="E728" s="15">
        <v>2.0</v>
      </c>
      <c r="AU728" s="43"/>
      <c r="AX728" s="15" t="s">
        <v>86</v>
      </c>
    </row>
    <row r="729">
      <c r="A729" s="40">
        <v>46122.0</v>
      </c>
      <c r="B729" s="4" t="s">
        <v>170</v>
      </c>
      <c r="C729" s="4" t="s">
        <v>194</v>
      </c>
      <c r="D729" s="15" t="s">
        <v>93</v>
      </c>
      <c r="E729" s="15">
        <v>0.5</v>
      </c>
      <c r="AU729" s="43"/>
      <c r="AX729" s="15" t="s">
        <v>86</v>
      </c>
    </row>
    <row r="730">
      <c r="A730" s="40">
        <v>46122.0</v>
      </c>
      <c r="B730" s="4" t="s">
        <v>221</v>
      </c>
      <c r="C730" s="4" t="s">
        <v>194</v>
      </c>
      <c r="D730" s="15" t="s">
        <v>53</v>
      </c>
      <c r="E730" s="15">
        <v>0.5</v>
      </c>
      <c r="AU730" s="43"/>
      <c r="AX730" s="15" t="s">
        <v>86</v>
      </c>
    </row>
    <row r="731">
      <c r="A731" s="40">
        <v>46119.0</v>
      </c>
      <c r="B731" s="4" t="s">
        <v>224</v>
      </c>
      <c r="C731" s="4" t="s">
        <v>1669</v>
      </c>
      <c r="D731" s="15" t="s">
        <v>53</v>
      </c>
      <c r="E731" s="15">
        <v>1.25</v>
      </c>
      <c r="AU731" s="43"/>
      <c r="AX731" s="15" t="s">
        <v>86</v>
      </c>
    </row>
    <row r="732">
      <c r="A732" s="40">
        <v>46122.0</v>
      </c>
      <c r="B732" s="4" t="s">
        <v>1204</v>
      </c>
      <c r="C732" s="4" t="s">
        <v>1762</v>
      </c>
      <c r="D732" s="15" t="s">
        <v>314</v>
      </c>
      <c r="E732" s="15">
        <v>1.75</v>
      </c>
      <c r="AU732" s="43"/>
      <c r="AX732" s="15" t="s">
        <v>86</v>
      </c>
    </row>
    <row r="733">
      <c r="A733" s="40">
        <v>46125.0</v>
      </c>
      <c r="B733" s="4" t="s">
        <v>189</v>
      </c>
      <c r="C733" s="4" t="s">
        <v>194</v>
      </c>
      <c r="D733" s="15" t="s">
        <v>93</v>
      </c>
      <c r="E733" s="15">
        <v>0.5</v>
      </c>
      <c r="AU733" s="43"/>
      <c r="AX733" s="15" t="s">
        <v>86</v>
      </c>
    </row>
    <row r="734">
      <c r="A734" s="40">
        <v>46125.0</v>
      </c>
      <c r="B734" s="4" t="s">
        <v>170</v>
      </c>
      <c r="C734" s="4" t="s">
        <v>194</v>
      </c>
      <c r="D734" s="15" t="s">
        <v>93</v>
      </c>
      <c r="E734" s="15">
        <v>0.5</v>
      </c>
      <c r="AU734" s="43"/>
      <c r="AX734" s="15" t="s">
        <v>86</v>
      </c>
    </row>
    <row r="735">
      <c r="A735" s="40">
        <v>46125.0</v>
      </c>
      <c r="B735" s="4" t="s">
        <v>227</v>
      </c>
      <c r="C735" s="4" t="s">
        <v>420</v>
      </c>
      <c r="D735" s="15" t="s">
        <v>53</v>
      </c>
      <c r="E735" s="15">
        <v>0.25</v>
      </c>
      <c r="AU735" s="43"/>
      <c r="AX735" s="15" t="s">
        <v>86</v>
      </c>
    </row>
    <row r="736">
      <c r="A736" s="40">
        <v>46125.0</v>
      </c>
      <c r="B736" s="4" t="s">
        <v>649</v>
      </c>
      <c r="C736" s="4" t="s">
        <v>194</v>
      </c>
      <c r="D736" s="15" t="s">
        <v>53</v>
      </c>
      <c r="E736" s="15">
        <v>0.5</v>
      </c>
      <c r="AU736" s="43"/>
      <c r="AX736" s="15" t="s">
        <v>86</v>
      </c>
    </row>
    <row r="737">
      <c r="A737" s="40">
        <v>46125.0</v>
      </c>
      <c r="B737" s="4" t="s">
        <v>58</v>
      </c>
      <c r="C737" s="4" t="s">
        <v>259</v>
      </c>
      <c r="D737" s="15" t="s">
        <v>38</v>
      </c>
      <c r="E737" s="15">
        <v>1.0</v>
      </c>
      <c r="AU737" s="43"/>
      <c r="AX737" s="15" t="s">
        <v>86</v>
      </c>
    </row>
    <row r="738">
      <c r="A738" s="40">
        <v>46125.0</v>
      </c>
      <c r="B738" s="4" t="s">
        <v>1204</v>
      </c>
      <c r="C738" s="4" t="s">
        <v>796</v>
      </c>
      <c r="D738" s="15" t="s">
        <v>314</v>
      </c>
      <c r="E738" s="15">
        <v>2.5</v>
      </c>
      <c r="AU738" s="43"/>
      <c r="AX738" s="15" t="s">
        <v>86</v>
      </c>
    </row>
    <row r="739">
      <c r="A739" s="40">
        <v>46125.0</v>
      </c>
      <c r="B739" s="4" t="s">
        <v>1305</v>
      </c>
      <c r="C739" s="4" t="s">
        <v>259</v>
      </c>
      <c r="D739" s="15" t="s">
        <v>314</v>
      </c>
      <c r="E739" s="15">
        <v>1.0</v>
      </c>
      <c r="AU739" s="43"/>
      <c r="AX739" s="15" t="s">
        <v>86</v>
      </c>
    </row>
    <row r="740">
      <c r="A740" s="40">
        <v>46125.0</v>
      </c>
      <c r="B740" s="4" t="s">
        <v>106</v>
      </c>
      <c r="C740" s="4" t="s">
        <v>558</v>
      </c>
      <c r="D740" s="15" t="s">
        <v>38</v>
      </c>
      <c r="E740" s="15">
        <v>2.0</v>
      </c>
      <c r="AU740" s="43"/>
      <c r="AX740" s="15" t="s">
        <v>86</v>
      </c>
    </row>
    <row r="741">
      <c r="A741" s="40">
        <v>46125.0</v>
      </c>
      <c r="B741" s="4" t="s">
        <v>227</v>
      </c>
      <c r="C741" s="4" t="s">
        <v>796</v>
      </c>
      <c r="D741" s="15" t="s">
        <v>53</v>
      </c>
      <c r="E741" s="15">
        <v>2.5</v>
      </c>
      <c r="AU741" s="43"/>
      <c r="AX741" s="15" t="s">
        <v>86</v>
      </c>
    </row>
    <row r="742">
      <c r="A742" s="40">
        <v>46126.0</v>
      </c>
      <c r="B742" s="4" t="s">
        <v>227</v>
      </c>
      <c r="C742" s="4" t="s">
        <v>259</v>
      </c>
      <c r="D742" s="15" t="s">
        <v>53</v>
      </c>
      <c r="E742" s="15">
        <v>1.0</v>
      </c>
      <c r="AU742" s="43"/>
      <c r="AX742" s="15" t="s">
        <v>86</v>
      </c>
    </row>
    <row r="743">
      <c r="A743" s="40">
        <v>46126.0</v>
      </c>
      <c r="B743" s="4" t="s">
        <v>48</v>
      </c>
      <c r="C743" s="4" t="s">
        <v>259</v>
      </c>
      <c r="D743" s="15" t="s">
        <v>38</v>
      </c>
      <c r="E743" s="15">
        <v>1.0</v>
      </c>
      <c r="AU743" s="43"/>
      <c r="AX743" s="15" t="s">
        <v>86</v>
      </c>
    </row>
    <row r="744">
      <c r="A744" s="40">
        <v>46126.0</v>
      </c>
      <c r="B744" s="4" t="s">
        <v>106</v>
      </c>
      <c r="C744" s="4" t="s">
        <v>259</v>
      </c>
      <c r="D744" s="15" t="s">
        <v>38</v>
      </c>
      <c r="E744" s="15">
        <v>1.0</v>
      </c>
      <c r="AU744" s="43"/>
      <c r="AX744" s="15" t="s">
        <v>86</v>
      </c>
    </row>
    <row r="745">
      <c r="A745" s="40">
        <v>46126.0</v>
      </c>
      <c r="B745" s="4" t="s">
        <v>48</v>
      </c>
      <c r="C745" s="4" t="s">
        <v>194</v>
      </c>
      <c r="D745" s="15" t="s">
        <v>38</v>
      </c>
      <c r="E745" s="15">
        <v>0.5</v>
      </c>
      <c r="AU745" s="43"/>
      <c r="AX745" s="15" t="s">
        <v>86</v>
      </c>
    </row>
    <row r="746">
      <c r="A746" s="40">
        <v>46126.0</v>
      </c>
      <c r="B746" s="4" t="s">
        <v>48</v>
      </c>
      <c r="C746" s="4" t="s">
        <v>194</v>
      </c>
      <c r="D746" s="15" t="s">
        <v>38</v>
      </c>
      <c r="E746" s="15">
        <v>0.5</v>
      </c>
      <c r="AU746" s="43"/>
      <c r="AX746" s="15" t="s">
        <v>86</v>
      </c>
    </row>
    <row r="747">
      <c r="A747" s="40">
        <v>46126.0</v>
      </c>
      <c r="B747" s="4" t="s">
        <v>227</v>
      </c>
      <c r="C747" s="4" t="s">
        <v>291</v>
      </c>
      <c r="D747" s="15" t="s">
        <v>53</v>
      </c>
      <c r="E747" s="15">
        <v>1.5</v>
      </c>
      <c r="AU747" s="43"/>
      <c r="AX747" s="15" t="s">
        <v>86</v>
      </c>
    </row>
    <row r="748">
      <c r="A748" s="40">
        <v>46126.0</v>
      </c>
      <c r="B748" s="4" t="s">
        <v>58</v>
      </c>
      <c r="C748" s="4" t="s">
        <v>194</v>
      </c>
      <c r="D748" s="15" t="s">
        <v>38</v>
      </c>
      <c r="E748" s="15">
        <v>0.5</v>
      </c>
      <c r="AU748" s="43"/>
      <c r="AX748" s="15" t="s">
        <v>86</v>
      </c>
    </row>
    <row r="749">
      <c r="A749" s="40">
        <v>46126.0</v>
      </c>
      <c r="B749" s="4" t="s">
        <v>1272</v>
      </c>
      <c r="C749" s="4" t="s">
        <v>194</v>
      </c>
      <c r="D749" s="15" t="s">
        <v>314</v>
      </c>
      <c r="E749" s="15">
        <v>0.5</v>
      </c>
      <c r="AU749" s="43"/>
      <c r="AX749" s="15" t="s">
        <v>86</v>
      </c>
    </row>
    <row r="750">
      <c r="A750" s="40">
        <v>46126.0</v>
      </c>
      <c r="B750" s="4" t="s">
        <v>1204</v>
      </c>
      <c r="C750" s="4" t="s">
        <v>796</v>
      </c>
      <c r="D750" s="15" t="s">
        <v>314</v>
      </c>
      <c r="E750" s="15">
        <v>2.5</v>
      </c>
      <c r="AU750" s="43"/>
      <c r="AX750" s="15" t="s">
        <v>86</v>
      </c>
    </row>
    <row r="751">
      <c r="A751" s="40">
        <v>46126.0</v>
      </c>
      <c r="B751" s="4" t="s">
        <v>48</v>
      </c>
      <c r="C751" s="4" t="s">
        <v>194</v>
      </c>
      <c r="D751" s="15" t="s">
        <v>38</v>
      </c>
      <c r="E751" s="15">
        <v>0.5</v>
      </c>
      <c r="AU751" s="43"/>
      <c r="AX751" s="15" t="s">
        <v>86</v>
      </c>
    </row>
    <row r="752">
      <c r="A752" s="40">
        <v>46126.0</v>
      </c>
      <c r="B752" s="4" t="s">
        <v>706</v>
      </c>
      <c r="C752" s="4" t="s">
        <v>259</v>
      </c>
      <c r="D752" s="15" t="s">
        <v>93</v>
      </c>
      <c r="E752" s="15">
        <v>1.0</v>
      </c>
      <c r="AU752" s="43"/>
      <c r="AX752" s="15" t="s">
        <v>86</v>
      </c>
    </row>
    <row r="753">
      <c r="A753" s="40">
        <v>46127.0</v>
      </c>
      <c r="B753" s="4" t="s">
        <v>189</v>
      </c>
      <c r="C753" s="4" t="s">
        <v>259</v>
      </c>
      <c r="D753" s="15" t="s">
        <v>93</v>
      </c>
      <c r="E753" s="15">
        <v>1.0</v>
      </c>
      <c r="AU753" s="43"/>
      <c r="AX753" s="15" t="s">
        <v>86</v>
      </c>
    </row>
    <row r="754">
      <c r="A754" s="40">
        <v>46127.0</v>
      </c>
      <c r="B754" s="4" t="s">
        <v>173</v>
      </c>
      <c r="C754" s="4" t="s">
        <v>194</v>
      </c>
      <c r="D754" s="15" t="s">
        <v>93</v>
      </c>
      <c r="E754" s="15">
        <v>0.5</v>
      </c>
      <c r="AU754" s="43"/>
      <c r="AX754" s="15" t="s">
        <v>86</v>
      </c>
    </row>
    <row r="755">
      <c r="A755" s="40">
        <v>46127.0</v>
      </c>
      <c r="B755" s="4" t="s">
        <v>649</v>
      </c>
      <c r="C755" s="4" t="s">
        <v>194</v>
      </c>
      <c r="D755" s="15" t="s">
        <v>53</v>
      </c>
      <c r="E755" s="15">
        <v>0.5</v>
      </c>
      <c r="AU755" s="43"/>
      <c r="AX755" s="15" t="s">
        <v>86</v>
      </c>
    </row>
    <row r="756">
      <c r="A756" s="40">
        <v>46127.0</v>
      </c>
      <c r="B756" s="4" t="s">
        <v>1196</v>
      </c>
      <c r="C756" s="4" t="s">
        <v>194</v>
      </c>
      <c r="D756" s="15" t="s">
        <v>314</v>
      </c>
      <c r="E756" s="15">
        <v>0.5</v>
      </c>
      <c r="AU756" s="43"/>
      <c r="AX756" s="15" t="s">
        <v>86</v>
      </c>
    </row>
    <row r="757">
      <c r="A757" s="40">
        <v>46127.0</v>
      </c>
      <c r="B757" s="4" t="s">
        <v>1272</v>
      </c>
      <c r="C757" s="4" t="s">
        <v>259</v>
      </c>
      <c r="D757" s="15" t="s">
        <v>314</v>
      </c>
      <c r="E757" s="15">
        <v>1.0</v>
      </c>
      <c r="AU757" s="43"/>
      <c r="AX757" s="15" t="s">
        <v>86</v>
      </c>
    </row>
    <row r="758">
      <c r="A758" s="40">
        <v>46127.0</v>
      </c>
      <c r="B758" s="4" t="s">
        <v>106</v>
      </c>
      <c r="C758" s="4" t="s">
        <v>259</v>
      </c>
      <c r="D758" s="15" t="s">
        <v>38</v>
      </c>
      <c r="E758" s="15">
        <v>1.0</v>
      </c>
      <c r="AU758" s="43"/>
      <c r="AX758" s="15" t="s">
        <v>86</v>
      </c>
    </row>
    <row r="759">
      <c r="A759" s="40">
        <v>46127.0</v>
      </c>
      <c r="B759" s="4" t="s">
        <v>170</v>
      </c>
      <c r="C759" s="4" t="s">
        <v>194</v>
      </c>
      <c r="D759" s="15" t="s">
        <v>93</v>
      </c>
      <c r="E759" s="15">
        <v>0.5</v>
      </c>
      <c r="AU759" s="43"/>
      <c r="AX759" s="15" t="s">
        <v>86</v>
      </c>
    </row>
    <row r="760">
      <c r="A760" s="40">
        <v>46127.0</v>
      </c>
      <c r="B760" s="4" t="s">
        <v>173</v>
      </c>
      <c r="C760" s="4" t="s">
        <v>194</v>
      </c>
      <c r="D760" s="15" t="s">
        <v>93</v>
      </c>
      <c r="E760" s="15">
        <v>0.5</v>
      </c>
      <c r="AU760" s="43"/>
      <c r="AX760" s="15" t="s">
        <v>86</v>
      </c>
    </row>
    <row r="761">
      <c r="A761" s="40">
        <v>46127.0</v>
      </c>
      <c r="B761" s="4" t="s">
        <v>106</v>
      </c>
      <c r="C761" s="4" t="s">
        <v>259</v>
      </c>
      <c r="D761" s="15" t="s">
        <v>38</v>
      </c>
      <c r="E761" s="15">
        <v>1.0</v>
      </c>
      <c r="AU761" s="43"/>
      <c r="AX761" s="15" t="s">
        <v>86</v>
      </c>
    </row>
    <row r="762">
      <c r="A762" s="40">
        <v>46127.0</v>
      </c>
      <c r="B762" s="4" t="s">
        <v>1204</v>
      </c>
      <c r="C762" s="4" t="s">
        <v>1747</v>
      </c>
      <c r="D762" s="15" t="s">
        <v>314</v>
      </c>
      <c r="E762" s="15">
        <v>3.0</v>
      </c>
      <c r="AU762" s="43"/>
      <c r="AX762" s="15" t="s">
        <v>86</v>
      </c>
    </row>
    <row r="763">
      <c r="A763" s="40">
        <v>46128.0</v>
      </c>
      <c r="B763" s="4" t="s">
        <v>649</v>
      </c>
      <c r="C763" s="4" t="s">
        <v>259</v>
      </c>
      <c r="D763" s="15" t="s">
        <v>53</v>
      </c>
      <c r="E763" s="15">
        <v>1.0</v>
      </c>
      <c r="AU763" s="43"/>
      <c r="AX763" s="15" t="s">
        <v>86</v>
      </c>
    </row>
    <row r="764">
      <c r="A764" s="40">
        <v>46128.0</v>
      </c>
      <c r="B764" s="4" t="s">
        <v>170</v>
      </c>
      <c r="C764" s="4" t="s">
        <v>420</v>
      </c>
      <c r="D764" s="15" t="s">
        <v>93</v>
      </c>
      <c r="E764" s="15">
        <v>0.25</v>
      </c>
      <c r="AU764" s="43"/>
      <c r="AX764" s="15" t="s">
        <v>86</v>
      </c>
    </row>
    <row r="765">
      <c r="A765" s="40">
        <v>46128.0</v>
      </c>
      <c r="B765" s="4" t="s">
        <v>48</v>
      </c>
      <c r="C765" s="4" t="s">
        <v>194</v>
      </c>
      <c r="D765" s="15" t="s">
        <v>38</v>
      </c>
      <c r="E765" s="15">
        <v>0.5</v>
      </c>
      <c r="AU765" s="43"/>
      <c r="AX765" s="15" t="s">
        <v>86</v>
      </c>
    </row>
    <row r="766">
      <c r="A766" s="40">
        <v>46128.0</v>
      </c>
      <c r="B766" s="4" t="s">
        <v>683</v>
      </c>
      <c r="C766" s="4" t="s">
        <v>194</v>
      </c>
      <c r="D766" s="15" t="s">
        <v>53</v>
      </c>
      <c r="E766" s="15">
        <v>0.5</v>
      </c>
      <c r="AU766" s="43"/>
      <c r="AX766" s="15" t="s">
        <v>86</v>
      </c>
    </row>
    <row r="767">
      <c r="A767" s="40">
        <v>46128.0</v>
      </c>
      <c r="B767" s="4" t="s">
        <v>106</v>
      </c>
      <c r="C767" s="4" t="s">
        <v>259</v>
      </c>
      <c r="D767" s="15" t="s">
        <v>38</v>
      </c>
      <c r="E767" s="15">
        <v>1.0</v>
      </c>
      <c r="AU767" s="43"/>
      <c r="AX767" s="15" t="s">
        <v>86</v>
      </c>
    </row>
    <row r="768">
      <c r="A768" s="40">
        <v>46128.0</v>
      </c>
      <c r="B768" s="4" t="s">
        <v>58</v>
      </c>
      <c r="C768" s="4" t="s">
        <v>194</v>
      </c>
      <c r="D768" s="15" t="s">
        <v>38</v>
      </c>
      <c r="E768" s="15">
        <v>0.5</v>
      </c>
      <c r="AU768" s="43"/>
      <c r="AX768" s="15" t="s">
        <v>86</v>
      </c>
    </row>
    <row r="769">
      <c r="A769" s="40">
        <v>46128.0</v>
      </c>
      <c r="B769" s="4" t="s">
        <v>696</v>
      </c>
      <c r="C769" s="4" t="s">
        <v>194</v>
      </c>
      <c r="D769" s="15" t="s">
        <v>93</v>
      </c>
      <c r="E769" s="15">
        <v>0.5</v>
      </c>
      <c r="AU769" s="43"/>
      <c r="AX769" s="15" t="s">
        <v>86</v>
      </c>
    </row>
    <row r="770">
      <c r="A770" s="40">
        <v>46128.0</v>
      </c>
      <c r="B770" s="4" t="s">
        <v>170</v>
      </c>
      <c r="C770" s="4" t="s">
        <v>194</v>
      </c>
      <c r="D770" s="15" t="s">
        <v>93</v>
      </c>
      <c r="E770" s="15">
        <v>0.5</v>
      </c>
      <c r="AU770" s="43"/>
      <c r="AX770" s="15" t="s">
        <v>86</v>
      </c>
    </row>
    <row r="771">
      <c r="A771" s="40">
        <v>46128.0</v>
      </c>
      <c r="B771" s="4" t="s">
        <v>1204</v>
      </c>
      <c r="C771" s="4" t="s">
        <v>796</v>
      </c>
      <c r="D771" s="15" t="s">
        <v>314</v>
      </c>
      <c r="E771" s="15">
        <v>2.5</v>
      </c>
      <c r="AU771" s="43"/>
      <c r="AX771" s="15" t="s">
        <v>86</v>
      </c>
    </row>
    <row r="772">
      <c r="A772" s="40">
        <v>46129.0</v>
      </c>
      <c r="B772" s="4" t="s">
        <v>703</v>
      </c>
      <c r="C772" s="4" t="s">
        <v>194</v>
      </c>
      <c r="D772" s="15" t="s">
        <v>93</v>
      </c>
      <c r="E772" s="15">
        <v>0.5</v>
      </c>
      <c r="AU772" s="43"/>
      <c r="AX772" s="15" t="s">
        <v>86</v>
      </c>
    </row>
    <row r="773">
      <c r="A773" s="40">
        <v>46129.0</v>
      </c>
      <c r="B773" s="4" t="s">
        <v>173</v>
      </c>
      <c r="C773" s="4" t="s">
        <v>194</v>
      </c>
      <c r="D773" s="15" t="s">
        <v>93</v>
      </c>
      <c r="E773" s="15">
        <v>0.5</v>
      </c>
      <c r="AU773" s="43"/>
      <c r="AX773" s="15" t="s">
        <v>86</v>
      </c>
    </row>
    <row r="774">
      <c r="A774" s="40">
        <v>46129.0</v>
      </c>
      <c r="B774" s="4" t="s">
        <v>1196</v>
      </c>
      <c r="C774" s="4" t="s">
        <v>558</v>
      </c>
      <c r="D774" s="15" t="s">
        <v>314</v>
      </c>
      <c r="E774" s="15">
        <v>2.0</v>
      </c>
      <c r="AU774" s="43"/>
      <c r="AX774" s="15" t="s">
        <v>86</v>
      </c>
    </row>
    <row r="775">
      <c r="A775" s="40">
        <v>46129.0</v>
      </c>
      <c r="B775" s="4" t="s">
        <v>1505</v>
      </c>
      <c r="C775" s="4" t="s">
        <v>291</v>
      </c>
      <c r="D775" s="15" t="s">
        <v>38</v>
      </c>
      <c r="E775" s="15">
        <v>1.5</v>
      </c>
      <c r="AU775" s="43"/>
      <c r="AX775" s="15" t="s">
        <v>86</v>
      </c>
    </row>
    <row r="776">
      <c r="A776" s="40">
        <v>46129.0</v>
      </c>
      <c r="B776" s="4" t="s">
        <v>227</v>
      </c>
      <c r="C776" s="4" t="s">
        <v>291</v>
      </c>
      <c r="D776" s="15" t="s">
        <v>53</v>
      </c>
      <c r="E776" s="15">
        <v>1.5</v>
      </c>
      <c r="AU776" s="43"/>
      <c r="AX776" s="15" t="s">
        <v>86</v>
      </c>
    </row>
    <row r="777">
      <c r="A777" s="40">
        <v>46129.0</v>
      </c>
      <c r="B777" s="4" t="s">
        <v>637</v>
      </c>
      <c r="C777" s="4" t="s">
        <v>194</v>
      </c>
      <c r="D777" s="15" t="s">
        <v>53</v>
      </c>
      <c r="E777" s="15">
        <v>0.5</v>
      </c>
      <c r="AU777" s="43"/>
      <c r="AX777" s="15" t="s">
        <v>86</v>
      </c>
    </row>
    <row r="778">
      <c r="A778" s="40">
        <v>46129.0</v>
      </c>
      <c r="B778" s="4" t="s">
        <v>227</v>
      </c>
      <c r="C778" s="4" t="s">
        <v>194</v>
      </c>
      <c r="D778" s="15" t="s">
        <v>53</v>
      </c>
      <c r="E778" s="15">
        <v>0.5</v>
      </c>
      <c r="AU778" s="43"/>
      <c r="AX778" s="15" t="s">
        <v>86</v>
      </c>
    </row>
    <row r="779">
      <c r="A779" s="40">
        <v>46129.0</v>
      </c>
      <c r="B779" s="4" t="s">
        <v>1505</v>
      </c>
      <c r="C779" s="4" t="s">
        <v>796</v>
      </c>
      <c r="D779" s="15" t="s">
        <v>38</v>
      </c>
      <c r="E779" s="15">
        <v>2.5</v>
      </c>
      <c r="AU779" s="43"/>
      <c r="AX779" s="15" t="s">
        <v>86</v>
      </c>
    </row>
    <row r="780">
      <c r="A780" s="40">
        <v>46132.0</v>
      </c>
      <c r="B780" s="4" t="s">
        <v>649</v>
      </c>
      <c r="C780" s="4" t="s">
        <v>194</v>
      </c>
      <c r="D780" s="15" t="s">
        <v>53</v>
      </c>
      <c r="E780" s="15">
        <v>0.5</v>
      </c>
      <c r="AU780" s="43"/>
      <c r="AX780" s="15" t="s">
        <v>86</v>
      </c>
    </row>
    <row r="781">
      <c r="A781" s="40">
        <v>46132.0</v>
      </c>
      <c r="B781" s="4" t="s">
        <v>696</v>
      </c>
      <c r="C781" s="4" t="s">
        <v>259</v>
      </c>
      <c r="D781" s="15" t="s">
        <v>93</v>
      </c>
      <c r="E781" s="15">
        <v>1.0</v>
      </c>
      <c r="AU781" s="43"/>
      <c r="AX781" s="15" t="s">
        <v>86</v>
      </c>
    </row>
    <row r="782">
      <c r="A782" s="40">
        <v>46132.0</v>
      </c>
      <c r="B782" s="4" t="s">
        <v>173</v>
      </c>
      <c r="C782" s="4" t="s">
        <v>194</v>
      </c>
      <c r="D782" s="15" t="s">
        <v>93</v>
      </c>
      <c r="E782" s="15">
        <v>0.5</v>
      </c>
      <c r="AU782" s="43"/>
      <c r="AX782" s="15" t="s">
        <v>86</v>
      </c>
    </row>
    <row r="783">
      <c r="A783" s="40">
        <v>46132.0</v>
      </c>
      <c r="B783" s="4" t="s">
        <v>1505</v>
      </c>
      <c r="C783" s="4" t="s">
        <v>259</v>
      </c>
      <c r="D783" s="15" t="s">
        <v>38</v>
      </c>
      <c r="E783" s="15">
        <v>1.0</v>
      </c>
      <c r="AU783" s="43"/>
      <c r="AX783" s="15" t="s">
        <v>86</v>
      </c>
    </row>
    <row r="784">
      <c r="A784" s="40">
        <v>46132.0</v>
      </c>
      <c r="B784" s="4" t="s">
        <v>1196</v>
      </c>
      <c r="C784" s="4" t="s">
        <v>259</v>
      </c>
      <c r="D784" s="15" t="s">
        <v>314</v>
      </c>
      <c r="E784" s="15">
        <v>1.0</v>
      </c>
      <c r="AU784" s="43"/>
      <c r="AX784" s="15" t="s">
        <v>86</v>
      </c>
    </row>
    <row r="785">
      <c r="A785" s="40">
        <v>46132.0</v>
      </c>
      <c r="B785" s="4" t="s">
        <v>1272</v>
      </c>
      <c r="C785" s="4" t="s">
        <v>194</v>
      </c>
      <c r="D785" s="15" t="s">
        <v>314</v>
      </c>
      <c r="E785" s="15">
        <v>0.5</v>
      </c>
      <c r="AU785" s="43"/>
      <c r="AX785" s="15" t="s">
        <v>86</v>
      </c>
    </row>
    <row r="786">
      <c r="A786" s="40">
        <v>46132.0</v>
      </c>
      <c r="B786" s="4" t="s">
        <v>1196</v>
      </c>
      <c r="C786" s="4" t="s">
        <v>259</v>
      </c>
      <c r="D786" s="15" t="s">
        <v>314</v>
      </c>
      <c r="E786" s="15">
        <v>1.0</v>
      </c>
      <c r="AU786" s="43"/>
      <c r="AX786" s="15" t="s">
        <v>86</v>
      </c>
    </row>
    <row r="787">
      <c r="A787" s="40">
        <v>46132.0</v>
      </c>
      <c r="B787" s="4" t="s">
        <v>218</v>
      </c>
      <c r="C787" s="4" t="s">
        <v>194</v>
      </c>
      <c r="D787" s="15" t="s">
        <v>53</v>
      </c>
      <c r="E787" s="15">
        <v>0.5</v>
      </c>
      <c r="AU787" s="43"/>
      <c r="AX787" s="15" t="s">
        <v>86</v>
      </c>
    </row>
    <row r="788">
      <c r="A788" s="40">
        <v>46132.0</v>
      </c>
      <c r="B788" s="4" t="s">
        <v>218</v>
      </c>
      <c r="C788" s="4" t="s">
        <v>259</v>
      </c>
      <c r="D788" s="15" t="s">
        <v>53</v>
      </c>
      <c r="E788" s="15">
        <v>1.0</v>
      </c>
      <c r="AU788" s="43"/>
      <c r="AX788" s="15" t="s">
        <v>86</v>
      </c>
    </row>
    <row r="789">
      <c r="A789" s="40">
        <v>46133.0</v>
      </c>
      <c r="B789" s="4" t="s">
        <v>1196</v>
      </c>
      <c r="C789" s="4" t="s">
        <v>286</v>
      </c>
      <c r="D789" s="15" t="s">
        <v>314</v>
      </c>
      <c r="E789" s="15">
        <v>0.75</v>
      </c>
      <c r="AU789" s="43"/>
      <c r="AX789" s="15" t="s">
        <v>86</v>
      </c>
    </row>
    <row r="790">
      <c r="A790" s="40">
        <v>46133.0</v>
      </c>
      <c r="B790" s="4" t="s">
        <v>170</v>
      </c>
      <c r="C790" s="4" t="s">
        <v>194</v>
      </c>
      <c r="D790" s="15" t="s">
        <v>93</v>
      </c>
      <c r="E790" s="15">
        <v>0.5</v>
      </c>
      <c r="AU790" s="43"/>
      <c r="AX790" s="15" t="s">
        <v>86</v>
      </c>
    </row>
    <row r="791">
      <c r="A791" s="40">
        <v>46133.0</v>
      </c>
      <c r="B791" s="4" t="s">
        <v>233</v>
      </c>
      <c r="C791" s="4" t="s">
        <v>259</v>
      </c>
      <c r="D791" s="15" t="s">
        <v>53</v>
      </c>
      <c r="E791" s="15">
        <v>1.0</v>
      </c>
      <c r="AU791" s="43"/>
      <c r="AX791" s="15" t="s">
        <v>86</v>
      </c>
    </row>
    <row r="792">
      <c r="A792" s="40">
        <v>46133.0</v>
      </c>
      <c r="B792" s="4" t="s">
        <v>106</v>
      </c>
      <c r="C792" s="4" t="s">
        <v>194</v>
      </c>
      <c r="D792" s="15" t="s">
        <v>38</v>
      </c>
      <c r="E792" s="15">
        <v>0.5</v>
      </c>
      <c r="AU792" s="43"/>
      <c r="AX792" s="15" t="s">
        <v>86</v>
      </c>
    </row>
    <row r="793">
      <c r="A793" s="40">
        <v>46133.0</v>
      </c>
      <c r="B793" s="4" t="s">
        <v>696</v>
      </c>
      <c r="C793" s="4" t="s">
        <v>194</v>
      </c>
      <c r="D793" s="15" t="s">
        <v>93</v>
      </c>
      <c r="E793" s="15">
        <v>0.5</v>
      </c>
      <c r="AU793" s="43"/>
      <c r="AX793" s="15" t="s">
        <v>86</v>
      </c>
    </row>
    <row r="794">
      <c r="A794" s="40">
        <v>46133.0</v>
      </c>
      <c r="B794" s="4" t="s">
        <v>1305</v>
      </c>
      <c r="C794" s="4" t="s">
        <v>420</v>
      </c>
      <c r="D794" s="15" t="s">
        <v>314</v>
      </c>
      <c r="E794" s="15">
        <v>0.25</v>
      </c>
      <c r="AU794" s="43"/>
      <c r="AX794" s="15" t="s">
        <v>86</v>
      </c>
    </row>
    <row r="795">
      <c r="A795" s="40">
        <v>46133.0</v>
      </c>
      <c r="B795" s="4" t="s">
        <v>1196</v>
      </c>
      <c r="C795" s="4" t="s">
        <v>194</v>
      </c>
      <c r="D795" s="15" t="s">
        <v>314</v>
      </c>
      <c r="E795" s="15">
        <v>0.5</v>
      </c>
      <c r="AU795" s="43"/>
      <c r="AX795" s="15" t="s">
        <v>86</v>
      </c>
    </row>
    <row r="796">
      <c r="A796" s="40">
        <v>46133.0</v>
      </c>
      <c r="B796" s="4" t="s">
        <v>58</v>
      </c>
      <c r="C796" s="4" t="s">
        <v>194</v>
      </c>
      <c r="D796" s="15" t="s">
        <v>38</v>
      </c>
      <c r="E796" s="15">
        <v>0.5</v>
      </c>
      <c r="AU796" s="43"/>
      <c r="AX796" s="15" t="s">
        <v>86</v>
      </c>
    </row>
    <row r="797">
      <c r="A797" s="40">
        <v>46133.0</v>
      </c>
      <c r="B797" s="4" t="s">
        <v>1272</v>
      </c>
      <c r="C797" s="4" t="s">
        <v>194</v>
      </c>
      <c r="D797" s="15" t="s">
        <v>314</v>
      </c>
      <c r="E797" s="15">
        <v>0.5</v>
      </c>
      <c r="AU797" s="43"/>
      <c r="AX797" s="15" t="s">
        <v>86</v>
      </c>
    </row>
    <row r="798">
      <c r="A798" s="40">
        <v>46133.0</v>
      </c>
      <c r="B798" s="4" t="s">
        <v>106</v>
      </c>
      <c r="C798" s="4" t="s">
        <v>259</v>
      </c>
      <c r="D798" s="15" t="s">
        <v>38</v>
      </c>
      <c r="E798" s="15">
        <v>1.0</v>
      </c>
      <c r="AU798" s="43"/>
      <c r="AX798" s="15" t="s">
        <v>86</v>
      </c>
    </row>
    <row r="799">
      <c r="A799" s="40">
        <v>46133.0</v>
      </c>
      <c r="B799" s="4" t="s">
        <v>196</v>
      </c>
      <c r="C799" s="4" t="s">
        <v>259</v>
      </c>
      <c r="D799" s="15" t="s">
        <v>93</v>
      </c>
      <c r="E799" s="15">
        <v>1.0</v>
      </c>
      <c r="AU799" s="43"/>
      <c r="AX799" s="15" t="s">
        <v>86</v>
      </c>
    </row>
    <row r="800">
      <c r="A800" s="40">
        <v>46134.0</v>
      </c>
      <c r="B800" s="4" t="s">
        <v>196</v>
      </c>
      <c r="C800" s="4" t="s">
        <v>286</v>
      </c>
      <c r="D800" s="15" t="s">
        <v>93</v>
      </c>
      <c r="E800" s="15">
        <v>0.75</v>
      </c>
      <c r="AU800" s="43"/>
      <c r="AX800" s="15" t="s">
        <v>86</v>
      </c>
    </row>
    <row r="801">
      <c r="A801" s="40">
        <v>46134.0</v>
      </c>
      <c r="B801" s="4" t="s">
        <v>173</v>
      </c>
      <c r="C801" s="4" t="s">
        <v>194</v>
      </c>
      <c r="D801" s="15" t="s">
        <v>93</v>
      </c>
      <c r="E801" s="15">
        <v>0.5</v>
      </c>
      <c r="AU801" s="43"/>
      <c r="AX801" s="15" t="s">
        <v>86</v>
      </c>
    </row>
    <row r="802">
      <c r="A802" s="40">
        <v>46134.0</v>
      </c>
      <c r="B802" s="4" t="s">
        <v>649</v>
      </c>
      <c r="C802" s="4" t="s">
        <v>194</v>
      </c>
      <c r="D802" s="15" t="s">
        <v>53</v>
      </c>
      <c r="E802" s="15">
        <v>0.5</v>
      </c>
      <c r="AU802" s="43"/>
      <c r="AX802" s="15" t="s">
        <v>86</v>
      </c>
    </row>
    <row r="803">
      <c r="A803" s="40">
        <v>46134.0</v>
      </c>
      <c r="B803" s="4" t="s">
        <v>1272</v>
      </c>
      <c r="C803" s="4" t="s">
        <v>194</v>
      </c>
      <c r="D803" s="15" t="s">
        <v>314</v>
      </c>
      <c r="E803" s="15">
        <v>0.5</v>
      </c>
      <c r="AU803" s="43"/>
      <c r="AX803" s="15" t="s">
        <v>86</v>
      </c>
    </row>
    <row r="804">
      <c r="A804" s="40">
        <v>46134.0</v>
      </c>
      <c r="B804" s="4" t="s">
        <v>196</v>
      </c>
      <c r="C804" s="4" t="s">
        <v>291</v>
      </c>
      <c r="D804" s="15" t="s">
        <v>93</v>
      </c>
      <c r="E804" s="15">
        <v>1.5</v>
      </c>
      <c r="AU804" s="43"/>
      <c r="AX804" s="15" t="s">
        <v>86</v>
      </c>
    </row>
    <row r="805">
      <c r="A805" s="40">
        <v>46134.0</v>
      </c>
      <c r="B805" s="4" t="s">
        <v>58</v>
      </c>
      <c r="C805" s="4" t="s">
        <v>194</v>
      </c>
      <c r="D805" s="15" t="s">
        <v>38</v>
      </c>
      <c r="E805" s="15">
        <v>0.5</v>
      </c>
      <c r="AU805" s="43"/>
      <c r="AX805" s="15" t="s">
        <v>86</v>
      </c>
    </row>
    <row r="806">
      <c r="A806" s="40">
        <v>46134.0</v>
      </c>
      <c r="B806" s="4" t="s">
        <v>696</v>
      </c>
      <c r="C806" s="4" t="s">
        <v>286</v>
      </c>
      <c r="D806" s="15" t="s">
        <v>93</v>
      </c>
      <c r="E806" s="15">
        <v>0.75</v>
      </c>
      <c r="AU806" s="43"/>
      <c r="AX806" s="15" t="s">
        <v>86</v>
      </c>
    </row>
    <row r="807">
      <c r="A807" s="40">
        <v>46134.0</v>
      </c>
      <c r="B807" s="4" t="s">
        <v>78</v>
      </c>
      <c r="C807" s="4" t="s">
        <v>286</v>
      </c>
      <c r="D807" s="15" t="s">
        <v>38</v>
      </c>
      <c r="E807" s="15">
        <v>0.75</v>
      </c>
      <c r="AU807" s="43"/>
      <c r="AX807" s="15" t="s">
        <v>86</v>
      </c>
    </row>
    <row r="808">
      <c r="A808" s="40">
        <v>46134.0</v>
      </c>
      <c r="B808" s="4" t="s">
        <v>48</v>
      </c>
      <c r="C808" s="4" t="s">
        <v>194</v>
      </c>
      <c r="D808" s="15" t="s">
        <v>38</v>
      </c>
      <c r="E808" s="15">
        <v>0.5</v>
      </c>
      <c r="AU808" s="43"/>
      <c r="AX808" s="15" t="s">
        <v>86</v>
      </c>
    </row>
    <row r="809">
      <c r="A809" s="40">
        <v>46134.0</v>
      </c>
      <c r="B809" s="4" t="s">
        <v>218</v>
      </c>
      <c r="C809" s="4" t="s">
        <v>259</v>
      </c>
      <c r="D809" s="15" t="s">
        <v>53</v>
      </c>
      <c r="E809" s="15">
        <v>1.0</v>
      </c>
      <c r="AU809" s="43"/>
      <c r="AX809" s="15" t="s">
        <v>86</v>
      </c>
    </row>
    <row r="810">
      <c r="A810" s="40">
        <v>46135.0</v>
      </c>
      <c r="B810" s="4" t="s">
        <v>224</v>
      </c>
      <c r="C810" s="4" t="s">
        <v>286</v>
      </c>
      <c r="D810" s="15" t="s">
        <v>53</v>
      </c>
      <c r="E810" s="15">
        <v>0.75</v>
      </c>
      <c r="AU810" s="43"/>
      <c r="AX810" s="15" t="s">
        <v>86</v>
      </c>
    </row>
    <row r="811">
      <c r="A811" s="40">
        <v>46135.0</v>
      </c>
      <c r="B811" s="4" t="s">
        <v>696</v>
      </c>
      <c r="C811" s="4" t="s">
        <v>286</v>
      </c>
      <c r="D811" s="15" t="s">
        <v>93</v>
      </c>
      <c r="E811" s="15">
        <v>0.75</v>
      </c>
      <c r="AU811" s="43"/>
      <c r="AX811" s="15" t="s">
        <v>86</v>
      </c>
    </row>
    <row r="812">
      <c r="A812" s="40">
        <v>46135.0</v>
      </c>
      <c r="B812" s="4" t="s">
        <v>63</v>
      </c>
      <c r="C812" s="4" t="s">
        <v>194</v>
      </c>
      <c r="D812" s="15" t="s">
        <v>38</v>
      </c>
      <c r="E812" s="15">
        <v>0.5</v>
      </c>
      <c r="AU812" s="43"/>
      <c r="AX812" s="15" t="s">
        <v>86</v>
      </c>
    </row>
    <row r="813">
      <c r="A813" s="40">
        <v>46135.0</v>
      </c>
      <c r="B813" s="4" t="s">
        <v>1305</v>
      </c>
      <c r="C813" s="4" t="s">
        <v>194</v>
      </c>
      <c r="D813" s="15" t="s">
        <v>314</v>
      </c>
      <c r="E813" s="15">
        <v>0.5</v>
      </c>
      <c r="AU813" s="43"/>
      <c r="AX813" s="15" t="s">
        <v>86</v>
      </c>
    </row>
    <row r="814">
      <c r="A814" s="40">
        <v>46135.0</v>
      </c>
      <c r="B814" s="4" t="s">
        <v>48</v>
      </c>
      <c r="C814" s="4" t="s">
        <v>194</v>
      </c>
      <c r="D814" s="15" t="s">
        <v>38</v>
      </c>
      <c r="E814" s="15">
        <v>0.5</v>
      </c>
      <c r="AU814" s="43"/>
      <c r="AX814" s="15" t="s">
        <v>86</v>
      </c>
    </row>
    <row r="815">
      <c r="A815" s="40">
        <v>46135.0</v>
      </c>
      <c r="B815" s="4" t="s">
        <v>1305</v>
      </c>
      <c r="C815" s="4" t="s">
        <v>194</v>
      </c>
      <c r="D815" s="15" t="s">
        <v>314</v>
      </c>
      <c r="E815" s="15">
        <v>0.5</v>
      </c>
      <c r="AU815" s="43"/>
      <c r="AX815" s="15" t="s">
        <v>86</v>
      </c>
    </row>
    <row r="816">
      <c r="A816" s="40">
        <v>46135.0</v>
      </c>
      <c r="B816" s="4" t="s">
        <v>170</v>
      </c>
      <c r="C816" s="4" t="s">
        <v>194</v>
      </c>
      <c r="D816" s="15" t="s">
        <v>93</v>
      </c>
      <c r="E816" s="15">
        <v>0.5</v>
      </c>
      <c r="AU816" s="43"/>
      <c r="AX816" s="15" t="s">
        <v>86</v>
      </c>
    </row>
    <row r="817">
      <c r="A817" s="40">
        <v>46135.0</v>
      </c>
      <c r="B817" s="4" t="s">
        <v>227</v>
      </c>
      <c r="C817" s="4" t="s">
        <v>194</v>
      </c>
      <c r="D817" s="15" t="s">
        <v>53</v>
      </c>
      <c r="E817" s="15">
        <v>0.5</v>
      </c>
      <c r="AU817" s="43"/>
      <c r="AX817" s="15" t="s">
        <v>86</v>
      </c>
    </row>
    <row r="818">
      <c r="A818" s="40">
        <v>46135.0</v>
      </c>
      <c r="B818" s="4" t="s">
        <v>637</v>
      </c>
      <c r="C818" s="4" t="s">
        <v>194</v>
      </c>
      <c r="D818" s="15" t="s">
        <v>53</v>
      </c>
      <c r="E818" s="15">
        <v>0.5</v>
      </c>
      <c r="AU818" s="43"/>
      <c r="AX818" s="15" t="s">
        <v>86</v>
      </c>
    </row>
    <row r="819">
      <c r="A819" s="40">
        <v>46135.0</v>
      </c>
      <c r="B819" s="4" t="s">
        <v>58</v>
      </c>
      <c r="C819" s="4" t="s">
        <v>194</v>
      </c>
      <c r="D819" s="15" t="s">
        <v>38</v>
      </c>
      <c r="E819" s="15">
        <v>0.5</v>
      </c>
      <c r="AU819" s="43"/>
      <c r="AX819" s="15" t="s">
        <v>86</v>
      </c>
    </row>
    <row r="820">
      <c r="A820" s="40">
        <v>46135.0</v>
      </c>
      <c r="B820" s="4" t="s">
        <v>1272</v>
      </c>
      <c r="C820" s="4" t="s">
        <v>194</v>
      </c>
      <c r="D820" s="15" t="s">
        <v>314</v>
      </c>
      <c r="E820" s="15">
        <v>0.5</v>
      </c>
      <c r="AU820" s="43"/>
      <c r="AX820" s="15" t="s">
        <v>86</v>
      </c>
    </row>
    <row r="821">
      <c r="A821" s="40">
        <v>46135.0</v>
      </c>
      <c r="B821" s="4" t="s">
        <v>1272</v>
      </c>
      <c r="C821" s="4" t="s">
        <v>194</v>
      </c>
      <c r="D821" s="15" t="s">
        <v>314</v>
      </c>
      <c r="E821" s="15">
        <v>0.5</v>
      </c>
      <c r="AU821" s="43"/>
      <c r="AX821" s="15" t="s">
        <v>86</v>
      </c>
    </row>
    <row r="822">
      <c r="A822" s="40">
        <v>46135.0</v>
      </c>
      <c r="B822" s="4" t="s">
        <v>170</v>
      </c>
      <c r="C822" s="4" t="s">
        <v>194</v>
      </c>
      <c r="D822" s="15" t="s">
        <v>93</v>
      </c>
      <c r="E822" s="15">
        <v>0.5</v>
      </c>
      <c r="AU822" s="43"/>
      <c r="AX822" s="15" t="s">
        <v>86</v>
      </c>
    </row>
    <row r="823">
      <c r="A823" s="40">
        <v>46136.0</v>
      </c>
      <c r="B823" s="4" t="s">
        <v>1204</v>
      </c>
      <c r="C823" s="4" t="s">
        <v>194</v>
      </c>
      <c r="D823" s="15" t="s">
        <v>314</v>
      </c>
      <c r="E823" s="15">
        <v>0.5</v>
      </c>
      <c r="AU823" s="43"/>
      <c r="AX823" s="15" t="s">
        <v>86</v>
      </c>
    </row>
    <row r="824">
      <c r="A824" s="40">
        <v>46136.0</v>
      </c>
      <c r="B824" s="4" t="s">
        <v>58</v>
      </c>
      <c r="C824" s="4" t="s">
        <v>194</v>
      </c>
      <c r="D824" s="15" t="s">
        <v>38</v>
      </c>
      <c r="E824" s="15">
        <v>0.5</v>
      </c>
      <c r="AU824" s="43"/>
      <c r="AX824" s="15" t="s">
        <v>86</v>
      </c>
    </row>
    <row r="825">
      <c r="A825" s="40">
        <v>46136.0</v>
      </c>
      <c r="B825" s="4" t="s">
        <v>1186</v>
      </c>
      <c r="C825" s="4" t="s">
        <v>259</v>
      </c>
      <c r="D825" s="15" t="s">
        <v>314</v>
      </c>
      <c r="E825" s="15">
        <v>1.0</v>
      </c>
      <c r="AU825" s="43"/>
      <c r="AX825" s="15" t="s">
        <v>86</v>
      </c>
    </row>
    <row r="826">
      <c r="A826" s="40">
        <v>46136.0</v>
      </c>
      <c r="B826" s="4" t="s">
        <v>63</v>
      </c>
      <c r="C826" s="4" t="s">
        <v>291</v>
      </c>
      <c r="D826" s="15" t="s">
        <v>38</v>
      </c>
      <c r="E826" s="15">
        <v>1.5</v>
      </c>
      <c r="AU826" s="43"/>
      <c r="AX826" s="15" t="s">
        <v>86</v>
      </c>
    </row>
    <row r="827">
      <c r="A827" s="40">
        <v>46136.0</v>
      </c>
      <c r="B827" s="4" t="s">
        <v>1204</v>
      </c>
      <c r="C827" s="4" t="s">
        <v>1747</v>
      </c>
      <c r="D827" s="15" t="s">
        <v>314</v>
      </c>
      <c r="E827" s="15">
        <v>3.0</v>
      </c>
      <c r="AU827" s="43"/>
      <c r="AX827" s="15" t="s">
        <v>86</v>
      </c>
    </row>
    <row r="828">
      <c r="A828" s="40">
        <v>46136.0</v>
      </c>
      <c r="B828" s="4" t="s">
        <v>208</v>
      </c>
      <c r="C828" s="4" t="s">
        <v>259</v>
      </c>
      <c r="D828" s="15" t="s">
        <v>53</v>
      </c>
      <c r="E828" s="15">
        <v>1.0</v>
      </c>
      <c r="AU828" s="43"/>
      <c r="AX828" s="15" t="s">
        <v>86</v>
      </c>
    </row>
    <row r="829">
      <c r="A829" s="40">
        <v>46139.0</v>
      </c>
      <c r="B829" s="4" t="s">
        <v>221</v>
      </c>
      <c r="C829" s="4" t="s">
        <v>259</v>
      </c>
      <c r="D829" s="15" t="s">
        <v>53</v>
      </c>
      <c r="E829" s="15">
        <v>1.0</v>
      </c>
      <c r="AU829" s="43"/>
      <c r="AX829" s="15" t="s">
        <v>86</v>
      </c>
    </row>
    <row r="830">
      <c r="A830" s="40">
        <v>46139.0</v>
      </c>
      <c r="B830" s="4" t="s">
        <v>230</v>
      </c>
      <c r="C830" s="4" t="s">
        <v>194</v>
      </c>
      <c r="D830" s="15" t="s">
        <v>53</v>
      </c>
      <c r="E830" s="15">
        <v>0.5</v>
      </c>
      <c r="AU830" s="43"/>
      <c r="AX830" s="15" t="s">
        <v>86</v>
      </c>
    </row>
    <row r="831">
      <c r="A831" s="40">
        <v>46139.0</v>
      </c>
      <c r="B831" s="4" t="s">
        <v>58</v>
      </c>
      <c r="C831" s="4" t="s">
        <v>259</v>
      </c>
      <c r="D831" s="15" t="s">
        <v>38</v>
      </c>
      <c r="E831" s="15">
        <v>1.0</v>
      </c>
      <c r="AU831" s="43"/>
      <c r="AX831" s="15" t="s">
        <v>86</v>
      </c>
    </row>
    <row r="832">
      <c r="A832" s="40">
        <v>46139.0</v>
      </c>
      <c r="B832" s="4" t="s">
        <v>1505</v>
      </c>
      <c r="C832" s="4" t="s">
        <v>291</v>
      </c>
      <c r="D832" s="15" t="s">
        <v>38</v>
      </c>
      <c r="E832" s="15">
        <v>1.5</v>
      </c>
      <c r="AU832" s="43"/>
      <c r="AX832" s="15" t="s">
        <v>86</v>
      </c>
    </row>
    <row r="833">
      <c r="A833" s="40">
        <v>46139.0</v>
      </c>
      <c r="B833" s="4" t="s">
        <v>1186</v>
      </c>
      <c r="C833" s="4" t="s">
        <v>259</v>
      </c>
      <c r="D833" s="15" t="s">
        <v>314</v>
      </c>
      <c r="E833" s="15">
        <v>1.0</v>
      </c>
      <c r="AU833" s="43"/>
      <c r="AX833" s="15" t="s">
        <v>86</v>
      </c>
    </row>
    <row r="834">
      <c r="A834" s="40">
        <v>46139.0</v>
      </c>
      <c r="B834" s="4" t="s">
        <v>1272</v>
      </c>
      <c r="C834" s="4" t="s">
        <v>194</v>
      </c>
      <c r="D834" s="15" t="s">
        <v>314</v>
      </c>
      <c r="E834" s="15">
        <v>0.5</v>
      </c>
      <c r="AU834" s="43"/>
      <c r="AX834" s="15" t="s">
        <v>86</v>
      </c>
    </row>
    <row r="835">
      <c r="A835" s="40">
        <v>46139.0</v>
      </c>
      <c r="B835" s="4" t="s">
        <v>1272</v>
      </c>
      <c r="C835" s="4" t="s">
        <v>259</v>
      </c>
      <c r="D835" s="15" t="s">
        <v>314</v>
      </c>
      <c r="E835" s="15">
        <v>1.0</v>
      </c>
      <c r="AU835" s="43"/>
      <c r="AX835" s="15" t="s">
        <v>86</v>
      </c>
    </row>
    <row r="836">
      <c r="A836" s="40">
        <v>46139.0</v>
      </c>
      <c r="B836" s="4" t="s">
        <v>1186</v>
      </c>
      <c r="C836" s="4" t="s">
        <v>291</v>
      </c>
      <c r="D836" s="15" t="s">
        <v>314</v>
      </c>
      <c r="E836" s="15">
        <v>1.5</v>
      </c>
      <c r="AU836" s="43"/>
      <c r="AX836" s="15" t="s">
        <v>86</v>
      </c>
    </row>
    <row r="837">
      <c r="A837" s="40">
        <v>46140.0</v>
      </c>
      <c r="B837" s="4" t="s">
        <v>1186</v>
      </c>
      <c r="C837" s="4" t="s">
        <v>259</v>
      </c>
      <c r="D837" s="15" t="s">
        <v>314</v>
      </c>
      <c r="E837" s="15">
        <v>1.0</v>
      </c>
      <c r="AU837" s="43"/>
      <c r="AX837" s="15" t="s">
        <v>86</v>
      </c>
    </row>
    <row r="838">
      <c r="A838" s="40">
        <v>46140.0</v>
      </c>
      <c r="B838" s="4" t="s">
        <v>189</v>
      </c>
      <c r="C838" s="4" t="s">
        <v>259</v>
      </c>
      <c r="D838" s="15" t="s">
        <v>93</v>
      </c>
      <c r="E838" s="15">
        <v>1.0</v>
      </c>
      <c r="AU838" s="43"/>
      <c r="AX838" s="15" t="s">
        <v>86</v>
      </c>
    </row>
    <row r="839">
      <c r="A839" s="40">
        <v>46140.0</v>
      </c>
      <c r="B839" s="4" t="s">
        <v>170</v>
      </c>
      <c r="C839" s="4" t="s">
        <v>194</v>
      </c>
      <c r="D839" s="15" t="s">
        <v>93</v>
      </c>
      <c r="E839" s="15">
        <v>0.5</v>
      </c>
      <c r="AU839" s="43"/>
      <c r="AX839" s="15" t="s">
        <v>86</v>
      </c>
    </row>
    <row r="840">
      <c r="A840" s="40">
        <v>46140.0</v>
      </c>
      <c r="B840" s="4" t="s">
        <v>1505</v>
      </c>
      <c r="C840" s="4" t="s">
        <v>259</v>
      </c>
      <c r="D840" s="15" t="s">
        <v>38</v>
      </c>
      <c r="E840" s="15">
        <v>1.0</v>
      </c>
      <c r="AU840" s="43"/>
      <c r="AX840" s="15" t="s">
        <v>86</v>
      </c>
    </row>
    <row r="841">
      <c r="A841" s="40">
        <v>46140.0</v>
      </c>
      <c r="B841" s="4" t="s">
        <v>48</v>
      </c>
      <c r="C841" s="4" t="s">
        <v>194</v>
      </c>
      <c r="D841" s="15" t="s">
        <v>38</v>
      </c>
      <c r="E841" s="15">
        <v>0.5</v>
      </c>
      <c r="AU841" s="43"/>
      <c r="AX841" s="15" t="s">
        <v>86</v>
      </c>
    </row>
    <row r="842">
      <c r="A842" s="40">
        <v>46140.0</v>
      </c>
      <c r="B842" s="4" t="s">
        <v>1272</v>
      </c>
      <c r="C842" s="4" t="s">
        <v>194</v>
      </c>
      <c r="D842" s="15" t="s">
        <v>314</v>
      </c>
      <c r="E842" s="15">
        <v>0.5</v>
      </c>
      <c r="AU842" s="43"/>
      <c r="AX842" s="15" t="s">
        <v>86</v>
      </c>
    </row>
    <row r="843">
      <c r="A843" s="40">
        <v>46140.0</v>
      </c>
      <c r="B843" s="4" t="s">
        <v>1186</v>
      </c>
      <c r="C843" s="4" t="s">
        <v>194</v>
      </c>
      <c r="D843" s="15" t="s">
        <v>314</v>
      </c>
      <c r="E843" s="15">
        <v>0.5</v>
      </c>
      <c r="AU843" s="43"/>
      <c r="AX843" s="15" t="s">
        <v>86</v>
      </c>
    </row>
    <row r="844">
      <c r="A844" s="40">
        <v>46140.0</v>
      </c>
      <c r="B844" s="4" t="s">
        <v>1505</v>
      </c>
      <c r="C844" s="4" t="s">
        <v>558</v>
      </c>
      <c r="D844" s="15" t="s">
        <v>38</v>
      </c>
      <c r="E844" s="15">
        <v>2.0</v>
      </c>
      <c r="AU844" s="43"/>
      <c r="AX844" s="15" t="s">
        <v>86</v>
      </c>
    </row>
    <row r="845">
      <c r="A845" s="40">
        <v>46141.0</v>
      </c>
      <c r="B845" s="4" t="s">
        <v>189</v>
      </c>
      <c r="C845" s="4" t="s">
        <v>259</v>
      </c>
      <c r="D845" s="15" t="s">
        <v>93</v>
      </c>
      <c r="E845" s="15">
        <v>1.0</v>
      </c>
      <c r="AU845" s="43"/>
      <c r="AX845" s="15" t="s">
        <v>86</v>
      </c>
    </row>
    <row r="846">
      <c r="A846" s="40">
        <v>46141.0</v>
      </c>
      <c r="B846" s="4" t="s">
        <v>173</v>
      </c>
      <c r="C846" s="4" t="s">
        <v>194</v>
      </c>
      <c r="D846" s="15" t="s">
        <v>93</v>
      </c>
      <c r="E846" s="15">
        <v>0.5</v>
      </c>
      <c r="AU846" s="43"/>
      <c r="AX846" s="15" t="s">
        <v>86</v>
      </c>
    </row>
    <row r="847">
      <c r="A847" s="40">
        <v>46141.0</v>
      </c>
      <c r="B847" s="4" t="s">
        <v>202</v>
      </c>
      <c r="C847" s="4" t="s">
        <v>194</v>
      </c>
      <c r="D847" s="15" t="s">
        <v>53</v>
      </c>
      <c r="E847" s="15">
        <v>0.5</v>
      </c>
      <c r="AU847" s="43"/>
      <c r="AX847" s="15" t="s">
        <v>86</v>
      </c>
    </row>
    <row r="848">
      <c r="A848" s="40">
        <v>46141.0</v>
      </c>
      <c r="B848" s="4" t="s">
        <v>1505</v>
      </c>
      <c r="C848" s="4" t="s">
        <v>259</v>
      </c>
      <c r="D848" s="15" t="s">
        <v>38</v>
      </c>
      <c r="E848" s="15">
        <v>1.0</v>
      </c>
      <c r="AU848" s="43"/>
      <c r="AX848" s="15" t="s">
        <v>86</v>
      </c>
    </row>
    <row r="849">
      <c r="A849" s="40">
        <v>46141.0</v>
      </c>
      <c r="B849" s="4" t="s">
        <v>58</v>
      </c>
      <c r="C849" s="4" t="s">
        <v>194</v>
      </c>
      <c r="D849" s="15" t="s">
        <v>38</v>
      </c>
      <c r="E849" s="15">
        <v>0.5</v>
      </c>
      <c r="AU849" s="43"/>
      <c r="AX849" s="15" t="s">
        <v>86</v>
      </c>
    </row>
    <row r="850">
      <c r="A850" s="40">
        <v>46141.0</v>
      </c>
      <c r="B850" s="4" t="s">
        <v>1186</v>
      </c>
      <c r="C850" s="4" t="s">
        <v>291</v>
      </c>
      <c r="D850" s="15" t="s">
        <v>314</v>
      </c>
      <c r="E850" s="15">
        <v>1.5</v>
      </c>
      <c r="AU850" s="43"/>
      <c r="AX850" s="15" t="s">
        <v>86</v>
      </c>
    </row>
    <row r="851">
      <c r="A851" s="40">
        <v>46141.0</v>
      </c>
      <c r="B851" s="4" t="s">
        <v>1272</v>
      </c>
      <c r="C851" s="4" t="s">
        <v>194</v>
      </c>
      <c r="D851" s="15" t="s">
        <v>314</v>
      </c>
      <c r="E851" s="15">
        <v>0.5</v>
      </c>
      <c r="AU851" s="43"/>
      <c r="AX851" s="15" t="s">
        <v>86</v>
      </c>
    </row>
    <row r="852">
      <c r="A852" s="40">
        <v>46142.0</v>
      </c>
      <c r="B852" s="4" t="s">
        <v>48</v>
      </c>
      <c r="C852" s="4" t="s">
        <v>194</v>
      </c>
      <c r="D852" s="15" t="s">
        <v>38</v>
      </c>
      <c r="E852" s="15">
        <v>0.5</v>
      </c>
      <c r="AU852" s="43"/>
      <c r="AX852" s="15" t="s">
        <v>86</v>
      </c>
    </row>
    <row r="853">
      <c r="A853" s="40">
        <v>46142.0</v>
      </c>
      <c r="B853" s="4" t="s">
        <v>1186</v>
      </c>
      <c r="C853" s="4" t="s">
        <v>291</v>
      </c>
      <c r="D853" s="15" t="s">
        <v>314</v>
      </c>
      <c r="E853" s="15">
        <v>1.5</v>
      </c>
      <c r="AU853" s="43"/>
      <c r="AX853" s="15" t="s">
        <v>86</v>
      </c>
    </row>
    <row r="854">
      <c r="A854" s="40">
        <v>46142.0</v>
      </c>
      <c r="B854" s="4" t="s">
        <v>1305</v>
      </c>
      <c r="C854" s="4" t="s">
        <v>194</v>
      </c>
      <c r="D854" s="15" t="s">
        <v>314</v>
      </c>
      <c r="E854" s="15">
        <v>0.5</v>
      </c>
      <c r="AU854" s="43"/>
      <c r="AX854" s="15" t="s">
        <v>86</v>
      </c>
    </row>
    <row r="855">
      <c r="A855" s="40">
        <v>46142.0</v>
      </c>
      <c r="B855" s="4" t="s">
        <v>58</v>
      </c>
      <c r="C855" s="4" t="s">
        <v>194</v>
      </c>
      <c r="D855" s="15" t="s">
        <v>38</v>
      </c>
      <c r="E855" s="15">
        <v>0.5</v>
      </c>
      <c r="AU855" s="43"/>
      <c r="AX855" s="15" t="s">
        <v>86</v>
      </c>
    </row>
    <row r="856">
      <c r="A856" s="40">
        <v>46142.0</v>
      </c>
      <c r="B856" s="4" t="s">
        <v>1305</v>
      </c>
      <c r="C856" s="4" t="s">
        <v>194</v>
      </c>
      <c r="D856" s="15" t="s">
        <v>314</v>
      </c>
      <c r="E856" s="15">
        <v>0.5</v>
      </c>
      <c r="AU856" s="43"/>
      <c r="AX856" s="15" t="s">
        <v>86</v>
      </c>
    </row>
    <row r="857">
      <c r="A857" s="40">
        <v>46142.0</v>
      </c>
      <c r="B857" s="4" t="s">
        <v>192</v>
      </c>
      <c r="C857" s="4" t="s">
        <v>194</v>
      </c>
      <c r="D857" s="15" t="s">
        <v>93</v>
      </c>
      <c r="E857" s="15">
        <v>0.5</v>
      </c>
      <c r="AU857" s="43"/>
      <c r="AX857" s="15" t="s">
        <v>86</v>
      </c>
    </row>
    <row r="858">
      <c r="A858" s="40">
        <v>46142.0</v>
      </c>
      <c r="B858" s="4" t="s">
        <v>170</v>
      </c>
      <c r="C858" s="4" t="s">
        <v>194</v>
      </c>
      <c r="D858" s="15" t="s">
        <v>93</v>
      </c>
      <c r="E858" s="15">
        <v>0.5</v>
      </c>
      <c r="AU858" s="43"/>
      <c r="AX858" s="15" t="s">
        <v>86</v>
      </c>
    </row>
    <row r="859">
      <c r="A859" s="40">
        <v>46143.0</v>
      </c>
      <c r="B859" s="4" t="s">
        <v>196</v>
      </c>
      <c r="C859" s="4" t="s">
        <v>194</v>
      </c>
      <c r="D859" s="15" t="s">
        <v>93</v>
      </c>
      <c r="E859" s="15">
        <v>0.5</v>
      </c>
      <c r="AU859" s="43"/>
      <c r="AX859" s="15" t="s">
        <v>86</v>
      </c>
    </row>
    <row r="860">
      <c r="A860" s="40">
        <v>46143.0</v>
      </c>
      <c r="B860" s="4" t="s">
        <v>173</v>
      </c>
      <c r="C860" s="4" t="s">
        <v>194</v>
      </c>
      <c r="D860" s="15" t="s">
        <v>93</v>
      </c>
      <c r="E860" s="15">
        <v>0.5</v>
      </c>
      <c r="AU860" s="43"/>
      <c r="AX860" s="15" t="s">
        <v>86</v>
      </c>
    </row>
    <row r="861">
      <c r="A861" s="40">
        <v>46143.0</v>
      </c>
      <c r="B861" s="4" t="s">
        <v>196</v>
      </c>
      <c r="C861" s="4" t="s">
        <v>420</v>
      </c>
      <c r="D861" s="15" t="s">
        <v>93</v>
      </c>
      <c r="E861" s="15">
        <v>0.25</v>
      </c>
      <c r="AU861" s="43"/>
      <c r="AX861" s="15" t="s">
        <v>86</v>
      </c>
    </row>
    <row r="862">
      <c r="A862" s="40">
        <v>46143.0</v>
      </c>
      <c r="B862" s="4" t="s">
        <v>58</v>
      </c>
      <c r="C862" s="4" t="s">
        <v>194</v>
      </c>
      <c r="D862" s="15" t="s">
        <v>38</v>
      </c>
      <c r="E862" s="15">
        <v>0.5</v>
      </c>
      <c r="AU862" s="43"/>
      <c r="AX862" s="15" t="s">
        <v>86</v>
      </c>
    </row>
    <row r="863">
      <c r="A863" s="40">
        <v>46143.0</v>
      </c>
      <c r="B863" s="4" t="s">
        <v>1204</v>
      </c>
      <c r="C863" s="4" t="s">
        <v>291</v>
      </c>
      <c r="D863" s="15" t="s">
        <v>314</v>
      </c>
      <c r="E863" s="15">
        <v>1.5</v>
      </c>
      <c r="AU863" s="43"/>
      <c r="AX863" s="15" t="s">
        <v>86</v>
      </c>
    </row>
    <row r="864">
      <c r="A864" s="40">
        <v>46146.0</v>
      </c>
      <c r="B864" s="4" t="s">
        <v>230</v>
      </c>
      <c r="C864" s="4" t="s">
        <v>194</v>
      </c>
      <c r="D864" s="15" t="s">
        <v>53</v>
      </c>
      <c r="E864" s="15">
        <v>0.5</v>
      </c>
      <c r="AU864" s="43"/>
      <c r="AX864" s="15" t="s">
        <v>86</v>
      </c>
    </row>
    <row r="865">
      <c r="A865" s="40">
        <v>46146.0</v>
      </c>
      <c r="B865" s="4" t="s">
        <v>340</v>
      </c>
      <c r="C865" s="4" t="s">
        <v>194</v>
      </c>
      <c r="D865" s="15" t="s">
        <v>53</v>
      </c>
      <c r="E865" s="15">
        <v>0.5</v>
      </c>
      <c r="AU865" s="43"/>
      <c r="AX865" s="15" t="s">
        <v>86</v>
      </c>
    </row>
    <row r="866">
      <c r="A866" s="40">
        <v>46146.0</v>
      </c>
      <c r="B866" s="4" t="s">
        <v>1181</v>
      </c>
      <c r="C866" s="4" t="s">
        <v>259</v>
      </c>
      <c r="D866" s="15" t="s">
        <v>314</v>
      </c>
      <c r="E866" s="15">
        <v>1.0</v>
      </c>
      <c r="AU866" s="43"/>
      <c r="AX866" s="15" t="s">
        <v>86</v>
      </c>
    </row>
    <row r="867">
      <c r="A867" s="40">
        <v>46146.0</v>
      </c>
      <c r="B867" s="4" t="s">
        <v>1305</v>
      </c>
      <c r="C867" s="4" t="s">
        <v>194</v>
      </c>
      <c r="D867" s="15" t="s">
        <v>314</v>
      </c>
      <c r="E867" s="15">
        <v>0.5</v>
      </c>
      <c r="AU867" s="43"/>
      <c r="AX867" s="15" t="s">
        <v>86</v>
      </c>
    </row>
    <row r="868">
      <c r="A868" s="40">
        <v>46146.0</v>
      </c>
      <c r="B868" s="4" t="s">
        <v>1181</v>
      </c>
      <c r="C868" s="4" t="s">
        <v>194</v>
      </c>
      <c r="D868" s="15" t="s">
        <v>314</v>
      </c>
      <c r="E868" s="15">
        <v>0.5</v>
      </c>
      <c r="AU868" s="43"/>
      <c r="AX868" s="15" t="s">
        <v>86</v>
      </c>
    </row>
    <row r="869">
      <c r="A869" s="40">
        <v>46146.0</v>
      </c>
      <c r="B869" s="4" t="s">
        <v>189</v>
      </c>
      <c r="C869" s="4" t="s">
        <v>194</v>
      </c>
      <c r="D869" s="15" t="s">
        <v>93</v>
      </c>
      <c r="E869" s="15">
        <v>0.5</v>
      </c>
      <c r="AU869" s="43"/>
      <c r="AX869" s="15" t="s">
        <v>86</v>
      </c>
    </row>
    <row r="870">
      <c r="A870" s="40">
        <v>46146.0</v>
      </c>
      <c r="B870" s="4" t="s">
        <v>218</v>
      </c>
      <c r="C870" s="4" t="s">
        <v>194</v>
      </c>
      <c r="D870" s="15" t="s">
        <v>53</v>
      </c>
      <c r="E870" s="15">
        <v>0.5</v>
      </c>
      <c r="AU870" s="43"/>
      <c r="AX870" s="15" t="s">
        <v>86</v>
      </c>
    </row>
    <row r="871">
      <c r="A871" s="40">
        <v>46146.0</v>
      </c>
      <c r="B871" s="4" t="s">
        <v>1505</v>
      </c>
      <c r="C871" s="4" t="s">
        <v>259</v>
      </c>
      <c r="D871" s="15" t="s">
        <v>38</v>
      </c>
      <c r="E871" s="15">
        <v>1.0</v>
      </c>
      <c r="AU871" s="43"/>
      <c r="AX871" s="15" t="s">
        <v>86</v>
      </c>
    </row>
    <row r="872">
      <c r="A872" s="40">
        <v>46146.0</v>
      </c>
      <c r="B872" s="4" t="s">
        <v>218</v>
      </c>
      <c r="C872" s="4" t="s">
        <v>259</v>
      </c>
      <c r="D872" s="15" t="s">
        <v>53</v>
      </c>
      <c r="E872" s="15">
        <v>1.0</v>
      </c>
      <c r="AU872" s="43"/>
      <c r="AX872" s="15" t="s">
        <v>86</v>
      </c>
    </row>
    <row r="873">
      <c r="A873" s="40">
        <v>46146.0</v>
      </c>
      <c r="B873" s="4" t="s">
        <v>1505</v>
      </c>
      <c r="C873" s="4" t="s">
        <v>194</v>
      </c>
      <c r="D873" s="15" t="s">
        <v>38</v>
      </c>
      <c r="E873" s="15">
        <v>0.5</v>
      </c>
      <c r="AU873" s="43"/>
      <c r="AX873" s="15" t="s">
        <v>86</v>
      </c>
    </row>
    <row r="874">
      <c r="A874" s="40">
        <v>46147.0</v>
      </c>
      <c r="B874" s="4" t="s">
        <v>196</v>
      </c>
      <c r="C874" s="4" t="s">
        <v>194</v>
      </c>
      <c r="D874" s="15" t="s">
        <v>93</v>
      </c>
      <c r="E874" s="15">
        <v>0.5</v>
      </c>
      <c r="AU874" s="43"/>
      <c r="AX874" s="15" t="s">
        <v>86</v>
      </c>
    </row>
    <row r="875">
      <c r="A875" s="40">
        <v>46147.0</v>
      </c>
      <c r="B875" s="4" t="s">
        <v>170</v>
      </c>
      <c r="C875" s="4" t="s">
        <v>194</v>
      </c>
      <c r="D875" s="15" t="s">
        <v>93</v>
      </c>
      <c r="E875" s="15">
        <v>0.5</v>
      </c>
      <c r="AU875" s="43"/>
      <c r="AX875" s="15" t="s">
        <v>86</v>
      </c>
    </row>
    <row r="876">
      <c r="A876" s="40">
        <v>46147.0</v>
      </c>
      <c r="B876" s="4" t="s">
        <v>683</v>
      </c>
      <c r="C876" s="4" t="s">
        <v>194</v>
      </c>
      <c r="D876" s="15" t="s">
        <v>53</v>
      </c>
      <c r="E876" s="15">
        <v>0.5</v>
      </c>
      <c r="AU876" s="43"/>
      <c r="AX876" s="15" t="s">
        <v>86</v>
      </c>
    </row>
    <row r="877">
      <c r="A877" s="40">
        <v>46147.0</v>
      </c>
      <c r="B877" s="4" t="s">
        <v>170</v>
      </c>
      <c r="C877" s="4" t="s">
        <v>194</v>
      </c>
      <c r="D877" s="15" t="s">
        <v>93</v>
      </c>
      <c r="E877" s="15">
        <v>0.5</v>
      </c>
      <c r="AU877" s="43"/>
      <c r="AX877" s="15" t="s">
        <v>86</v>
      </c>
    </row>
    <row r="878">
      <c r="A878" s="40">
        <v>46147.0</v>
      </c>
      <c r="B878" s="4" t="s">
        <v>63</v>
      </c>
      <c r="C878" s="4" t="s">
        <v>194</v>
      </c>
      <c r="D878" s="15" t="s">
        <v>38</v>
      </c>
      <c r="E878" s="15">
        <v>0.5</v>
      </c>
      <c r="AU878" s="43"/>
      <c r="AX878" s="15" t="s">
        <v>86</v>
      </c>
    </row>
    <row r="879">
      <c r="A879" s="40">
        <v>46147.0</v>
      </c>
      <c r="B879" s="4" t="s">
        <v>189</v>
      </c>
      <c r="C879" s="4" t="s">
        <v>194</v>
      </c>
      <c r="D879" s="15" t="s">
        <v>93</v>
      </c>
      <c r="E879" s="15">
        <v>0.5</v>
      </c>
      <c r="AU879" s="43"/>
      <c r="AX879" s="15" t="s">
        <v>86</v>
      </c>
    </row>
    <row r="880">
      <c r="A880" s="40">
        <v>46147.0</v>
      </c>
      <c r="B880" s="4" t="s">
        <v>230</v>
      </c>
      <c r="C880" s="4" t="s">
        <v>259</v>
      </c>
      <c r="D880" s="15" t="s">
        <v>53</v>
      </c>
      <c r="E880" s="15">
        <v>1.0</v>
      </c>
      <c r="AU880" s="43"/>
      <c r="AX880" s="15" t="s">
        <v>86</v>
      </c>
    </row>
    <row r="881">
      <c r="A881" s="40">
        <v>46147.0</v>
      </c>
      <c r="B881" s="4" t="s">
        <v>1204</v>
      </c>
      <c r="C881" s="4" t="s">
        <v>194</v>
      </c>
      <c r="D881" s="15" t="s">
        <v>314</v>
      </c>
      <c r="E881" s="15">
        <v>0.5</v>
      </c>
      <c r="AU881" s="43"/>
      <c r="AX881" s="15" t="s">
        <v>86</v>
      </c>
    </row>
    <row r="882">
      <c r="A882" s="40">
        <v>46147.0</v>
      </c>
      <c r="B882" s="4" t="s">
        <v>1505</v>
      </c>
      <c r="C882" s="4" t="s">
        <v>259</v>
      </c>
      <c r="D882" s="15" t="s">
        <v>38</v>
      </c>
      <c r="E882" s="15">
        <v>1.0</v>
      </c>
      <c r="AU882" s="43"/>
      <c r="AX882" s="15" t="s">
        <v>86</v>
      </c>
    </row>
    <row r="883">
      <c r="A883" s="40">
        <v>46147.0</v>
      </c>
      <c r="B883" s="4" t="s">
        <v>58</v>
      </c>
      <c r="C883" s="4" t="s">
        <v>194</v>
      </c>
      <c r="D883" s="15" t="s">
        <v>38</v>
      </c>
      <c r="E883" s="15">
        <v>0.5</v>
      </c>
      <c r="AU883" s="43"/>
      <c r="AX883" s="15" t="s">
        <v>86</v>
      </c>
    </row>
    <row r="884">
      <c r="A884" s="40">
        <v>46147.0</v>
      </c>
      <c r="B884" s="4" t="s">
        <v>1272</v>
      </c>
      <c r="C884" s="4" t="s">
        <v>194</v>
      </c>
      <c r="D884" s="15" t="s">
        <v>314</v>
      </c>
      <c r="E884" s="15">
        <v>0.5</v>
      </c>
      <c r="AU884" s="43"/>
      <c r="AX884" s="15" t="s">
        <v>86</v>
      </c>
    </row>
    <row r="885">
      <c r="A885" s="40">
        <v>46147.0</v>
      </c>
      <c r="B885" s="4" t="s">
        <v>1181</v>
      </c>
      <c r="C885" s="4" t="s">
        <v>259</v>
      </c>
      <c r="D885" s="15" t="s">
        <v>314</v>
      </c>
      <c r="E885" s="15">
        <v>1.0</v>
      </c>
      <c r="AU885" s="43"/>
      <c r="AX885" s="15" t="s">
        <v>86</v>
      </c>
    </row>
    <row r="886">
      <c r="A886" s="40">
        <v>46147.0</v>
      </c>
      <c r="B886" s="4" t="s">
        <v>67</v>
      </c>
      <c r="C886" s="4" t="s">
        <v>259</v>
      </c>
      <c r="D886" s="15" t="s">
        <v>38</v>
      </c>
      <c r="E886" s="15">
        <v>1.0</v>
      </c>
      <c r="AU886" s="43"/>
      <c r="AX886" s="15" t="s">
        <v>86</v>
      </c>
    </row>
    <row r="887">
      <c r="A887" s="40">
        <v>46147.0</v>
      </c>
      <c r="B887" s="4" t="s">
        <v>1186</v>
      </c>
      <c r="C887" s="4" t="s">
        <v>194</v>
      </c>
      <c r="D887" s="15" t="s">
        <v>314</v>
      </c>
      <c r="E887" s="15">
        <v>0.5</v>
      </c>
      <c r="AU887" s="43"/>
      <c r="AX887" s="15" t="s">
        <v>86</v>
      </c>
    </row>
    <row r="888">
      <c r="A888" s="40">
        <v>46148.0</v>
      </c>
      <c r="B888" s="4" t="s">
        <v>196</v>
      </c>
      <c r="C888" s="4" t="s">
        <v>558</v>
      </c>
      <c r="D888" s="15" t="s">
        <v>93</v>
      </c>
      <c r="E888" s="15">
        <v>2.0</v>
      </c>
      <c r="AU888" s="43"/>
      <c r="AX888" s="15" t="s">
        <v>86</v>
      </c>
    </row>
    <row r="889">
      <c r="A889" s="40">
        <v>46148.0</v>
      </c>
      <c r="B889" s="4" t="s">
        <v>202</v>
      </c>
      <c r="C889" s="4" t="s">
        <v>194</v>
      </c>
      <c r="D889" s="15" t="s">
        <v>53</v>
      </c>
      <c r="E889" s="15">
        <v>0.5</v>
      </c>
      <c r="AU889" s="43"/>
      <c r="AX889" s="15" t="s">
        <v>86</v>
      </c>
    </row>
    <row r="890">
      <c r="A890" s="40">
        <v>46148.0</v>
      </c>
      <c r="B890" s="4" t="s">
        <v>1305</v>
      </c>
      <c r="C890" s="4" t="s">
        <v>194</v>
      </c>
      <c r="D890" s="15" t="s">
        <v>314</v>
      </c>
      <c r="E890" s="15">
        <v>0.5</v>
      </c>
      <c r="AU890" s="43"/>
      <c r="AX890" s="15" t="s">
        <v>86</v>
      </c>
    </row>
    <row r="891">
      <c r="A891" s="40">
        <v>46148.0</v>
      </c>
      <c r="B891" s="4" t="s">
        <v>1305</v>
      </c>
      <c r="C891" s="4" t="s">
        <v>194</v>
      </c>
      <c r="D891" s="15" t="s">
        <v>314</v>
      </c>
      <c r="E891" s="15">
        <v>0.5</v>
      </c>
      <c r="AU891" s="43"/>
      <c r="AX891" s="15" t="s">
        <v>86</v>
      </c>
    </row>
    <row r="892">
      <c r="A892" s="40">
        <v>46148.0</v>
      </c>
      <c r="B892" s="4" t="s">
        <v>31</v>
      </c>
      <c r="C892" s="4" t="s">
        <v>194</v>
      </c>
      <c r="D892" s="15" t="s">
        <v>38</v>
      </c>
      <c r="E892" s="15">
        <v>0.5</v>
      </c>
      <c r="AU892" s="43"/>
      <c r="AX892" s="15" t="s">
        <v>86</v>
      </c>
    </row>
    <row r="893">
      <c r="A893" s="40">
        <v>46148.0</v>
      </c>
      <c r="B893" s="4" t="s">
        <v>31</v>
      </c>
      <c r="C893" s="4" t="s">
        <v>194</v>
      </c>
      <c r="D893" s="15" t="s">
        <v>38</v>
      </c>
      <c r="E893" s="15">
        <v>0.5</v>
      </c>
      <c r="AU893" s="43"/>
      <c r="AX893" s="15" t="s">
        <v>86</v>
      </c>
    </row>
    <row r="894">
      <c r="A894" s="40">
        <v>46148.0</v>
      </c>
      <c r="B894" s="4" t="s">
        <v>173</v>
      </c>
      <c r="C894" s="4" t="s">
        <v>194</v>
      </c>
      <c r="D894" s="15" t="s">
        <v>93</v>
      </c>
      <c r="E894" s="15">
        <v>0.5</v>
      </c>
      <c r="AU894" s="43"/>
      <c r="AX894" s="15" t="s">
        <v>86</v>
      </c>
    </row>
    <row r="895">
      <c r="A895" s="40">
        <v>46148.0</v>
      </c>
      <c r="B895" s="4" t="s">
        <v>196</v>
      </c>
      <c r="C895" s="4" t="s">
        <v>259</v>
      </c>
      <c r="D895" s="15" t="s">
        <v>93</v>
      </c>
      <c r="E895" s="15">
        <v>1.0</v>
      </c>
      <c r="AU895" s="43"/>
      <c r="AX895" s="15" t="s">
        <v>86</v>
      </c>
    </row>
    <row r="896">
      <c r="A896" s="40">
        <v>46149.0</v>
      </c>
      <c r="B896" s="4" t="s">
        <v>196</v>
      </c>
      <c r="C896" s="4" t="s">
        <v>1383</v>
      </c>
      <c r="D896" s="15" t="s">
        <v>93</v>
      </c>
      <c r="E896" s="15">
        <v>5.0</v>
      </c>
      <c r="AU896" s="43"/>
      <c r="AX896" s="15" t="s">
        <v>86</v>
      </c>
    </row>
    <row r="897">
      <c r="A897" s="40">
        <v>46149.0</v>
      </c>
      <c r="B897" s="4" t="s">
        <v>230</v>
      </c>
      <c r="C897" s="4" t="s">
        <v>194</v>
      </c>
      <c r="D897" s="15" t="s">
        <v>53</v>
      </c>
      <c r="E897" s="15">
        <v>0.5</v>
      </c>
      <c r="AU897" s="43"/>
      <c r="AX897" s="15" t="s">
        <v>86</v>
      </c>
    </row>
    <row r="898">
      <c r="A898" s="40">
        <v>46149.0</v>
      </c>
      <c r="B898" s="4" t="s">
        <v>58</v>
      </c>
      <c r="C898" s="4" t="s">
        <v>194</v>
      </c>
      <c r="D898" s="15" t="s">
        <v>38</v>
      </c>
      <c r="E898" s="15">
        <v>0.5</v>
      </c>
      <c r="AU898" s="43"/>
      <c r="AX898" s="15" t="s">
        <v>86</v>
      </c>
    </row>
    <row r="899">
      <c r="A899" s="40">
        <v>46149.0</v>
      </c>
      <c r="B899" s="4" t="s">
        <v>58</v>
      </c>
      <c r="C899" s="4" t="s">
        <v>194</v>
      </c>
      <c r="D899" s="15" t="s">
        <v>38</v>
      </c>
      <c r="E899" s="15">
        <v>0.5</v>
      </c>
      <c r="AU899" s="43"/>
      <c r="AX899" s="15" t="s">
        <v>86</v>
      </c>
    </row>
    <row r="900">
      <c r="A900" s="40">
        <v>46149.0</v>
      </c>
      <c r="B900" s="4" t="s">
        <v>1272</v>
      </c>
      <c r="C900" s="4" t="s">
        <v>194</v>
      </c>
      <c r="D900" s="15" t="s">
        <v>314</v>
      </c>
      <c r="E900" s="15">
        <v>0.5</v>
      </c>
      <c r="AU900" s="43"/>
      <c r="AX900" s="15" t="s">
        <v>86</v>
      </c>
    </row>
    <row r="901">
      <c r="A901" s="40">
        <v>46149.0</v>
      </c>
      <c r="B901" s="4" t="s">
        <v>170</v>
      </c>
      <c r="C901" s="4" t="s">
        <v>194</v>
      </c>
      <c r="D901" s="15" t="s">
        <v>93</v>
      </c>
      <c r="E901" s="15">
        <v>0.5</v>
      </c>
      <c r="AU901" s="43"/>
      <c r="AX901" s="15" t="s">
        <v>86</v>
      </c>
    </row>
    <row r="902">
      <c r="A902" s="40">
        <v>46150.0</v>
      </c>
      <c r="B902" s="4" t="s">
        <v>196</v>
      </c>
      <c r="C902" s="4" t="s">
        <v>1383</v>
      </c>
      <c r="D902" s="15" t="s">
        <v>93</v>
      </c>
      <c r="E902" s="15">
        <v>5.0</v>
      </c>
      <c r="AU902" s="43"/>
      <c r="AX902" s="15" t="s">
        <v>86</v>
      </c>
    </row>
    <row r="903">
      <c r="A903" s="40">
        <v>46150.0</v>
      </c>
      <c r="B903" s="4" t="s">
        <v>233</v>
      </c>
      <c r="C903" s="4" t="s">
        <v>194</v>
      </c>
      <c r="D903" s="15" t="s">
        <v>53</v>
      </c>
      <c r="E903" s="15">
        <v>0.5</v>
      </c>
      <c r="AU903" s="43"/>
      <c r="AX903" s="15" t="s">
        <v>86</v>
      </c>
    </row>
    <row r="904">
      <c r="A904" s="40">
        <v>46150.0</v>
      </c>
      <c r="B904" s="4" t="s">
        <v>58</v>
      </c>
      <c r="C904" s="4" t="s">
        <v>194</v>
      </c>
      <c r="D904" s="15" t="s">
        <v>38</v>
      </c>
      <c r="E904" s="15">
        <v>0.5</v>
      </c>
      <c r="AU904" s="43"/>
      <c r="AX904" s="15" t="s">
        <v>86</v>
      </c>
    </row>
    <row r="905">
      <c r="A905" s="40">
        <v>46153.0</v>
      </c>
      <c r="B905" s="4" t="s">
        <v>230</v>
      </c>
      <c r="C905" s="4" t="s">
        <v>194</v>
      </c>
      <c r="D905" s="15" t="s">
        <v>53</v>
      </c>
      <c r="E905" s="15">
        <v>0.5</v>
      </c>
      <c r="AU905" s="43"/>
      <c r="AX905" s="15" t="s">
        <v>86</v>
      </c>
    </row>
    <row r="906">
      <c r="A906" s="40">
        <v>46153.0</v>
      </c>
      <c r="B906" s="4" t="s">
        <v>58</v>
      </c>
      <c r="C906" s="4" t="s">
        <v>259</v>
      </c>
      <c r="D906" s="15" t="s">
        <v>38</v>
      </c>
      <c r="E906" s="15">
        <v>1.0</v>
      </c>
      <c r="AU906" s="43"/>
      <c r="AX906" s="15" t="s">
        <v>86</v>
      </c>
    </row>
    <row r="907">
      <c r="A907" s="40">
        <v>46153.0</v>
      </c>
      <c r="B907" s="4" t="s">
        <v>196</v>
      </c>
      <c r="C907" s="4" t="s">
        <v>1669</v>
      </c>
      <c r="D907" s="15" t="s">
        <v>93</v>
      </c>
      <c r="E907" s="15">
        <v>1.25</v>
      </c>
      <c r="AU907" s="43"/>
      <c r="AX907" s="15" t="s">
        <v>86</v>
      </c>
    </row>
    <row r="908">
      <c r="A908" s="40">
        <v>46153.0</v>
      </c>
      <c r="B908" s="4" t="s">
        <v>221</v>
      </c>
      <c r="C908" s="4" t="s">
        <v>259</v>
      </c>
      <c r="D908" s="15" t="s">
        <v>53</v>
      </c>
      <c r="E908" s="15">
        <v>1.0</v>
      </c>
      <c r="AU908" s="43"/>
      <c r="AX908" s="15" t="s">
        <v>86</v>
      </c>
    </row>
    <row r="909">
      <c r="A909" s="40">
        <v>46153.0</v>
      </c>
      <c r="B909" s="4" t="s">
        <v>63</v>
      </c>
      <c r="C909" s="4" t="s">
        <v>194</v>
      </c>
      <c r="D909" s="15" t="s">
        <v>38</v>
      </c>
      <c r="E909" s="15">
        <v>0.5</v>
      </c>
      <c r="AU909" s="43"/>
      <c r="AX909" s="15" t="s">
        <v>86</v>
      </c>
    </row>
    <row r="910">
      <c r="A910" s="40">
        <v>46153.0</v>
      </c>
      <c r="B910" s="4" t="s">
        <v>1505</v>
      </c>
      <c r="C910" s="4" t="s">
        <v>259</v>
      </c>
      <c r="D910" s="15" t="s">
        <v>38</v>
      </c>
      <c r="E910" s="15">
        <v>1.0</v>
      </c>
      <c r="AU910" s="43"/>
      <c r="AX910" s="15" t="s">
        <v>86</v>
      </c>
    </row>
    <row r="911">
      <c r="A911" s="40">
        <v>46153.0</v>
      </c>
      <c r="B911" s="4" t="s">
        <v>236</v>
      </c>
      <c r="C911" s="4" t="s">
        <v>194</v>
      </c>
      <c r="D911" s="15" t="s">
        <v>53</v>
      </c>
      <c r="E911" s="15">
        <v>0.5</v>
      </c>
      <c r="AU911" s="43"/>
      <c r="AX911" s="15" t="s">
        <v>86</v>
      </c>
    </row>
    <row r="912">
      <c r="A912" s="40">
        <v>46153.0</v>
      </c>
      <c r="B912" s="4" t="s">
        <v>63</v>
      </c>
      <c r="C912" s="4" t="s">
        <v>194</v>
      </c>
      <c r="D912" s="15" t="s">
        <v>38</v>
      </c>
      <c r="E912" s="15">
        <v>0.5</v>
      </c>
      <c r="AU912" s="43"/>
      <c r="AX912" s="15" t="s">
        <v>86</v>
      </c>
    </row>
    <row r="913">
      <c r="A913" s="40">
        <v>46154.0</v>
      </c>
      <c r="B913" s="4" t="s">
        <v>115</v>
      </c>
      <c r="C913" s="4" t="s">
        <v>259</v>
      </c>
      <c r="D913" s="15" t="s">
        <v>38</v>
      </c>
      <c r="E913" s="15">
        <v>1.0</v>
      </c>
      <c r="AU913" s="43"/>
      <c r="AX913" s="15" t="s">
        <v>86</v>
      </c>
    </row>
    <row r="914">
      <c r="A914" s="40">
        <v>46154.0</v>
      </c>
      <c r="B914" s="4" t="s">
        <v>170</v>
      </c>
      <c r="C914" s="4" t="s">
        <v>194</v>
      </c>
      <c r="D914" s="15" t="s">
        <v>93</v>
      </c>
      <c r="E914" s="15">
        <v>0.5</v>
      </c>
      <c r="AU914" s="43"/>
      <c r="AX914" s="15" t="s">
        <v>86</v>
      </c>
    </row>
    <row r="915">
      <c r="A915" s="40">
        <v>46154.0</v>
      </c>
      <c r="B915" s="4" t="s">
        <v>120</v>
      </c>
      <c r="C915" s="4" t="s">
        <v>259</v>
      </c>
      <c r="D915" s="15" t="s">
        <v>38</v>
      </c>
      <c r="E915" s="15">
        <v>1.0</v>
      </c>
      <c r="AU915" s="43"/>
      <c r="AX915" s="15" t="s">
        <v>86</v>
      </c>
    </row>
    <row r="916">
      <c r="A916" s="40">
        <v>46154.0</v>
      </c>
      <c r="B916" s="4" t="s">
        <v>1423</v>
      </c>
      <c r="C916" s="4" t="s">
        <v>194</v>
      </c>
      <c r="D916" s="15" t="s">
        <v>38</v>
      </c>
      <c r="E916" s="15">
        <v>0.5</v>
      </c>
      <c r="AU916" s="43"/>
      <c r="AX916" s="15" t="s">
        <v>86</v>
      </c>
    </row>
    <row r="917">
      <c r="A917" s="40">
        <v>46154.0</v>
      </c>
      <c r="B917" s="4" t="s">
        <v>48</v>
      </c>
      <c r="C917" s="4" t="s">
        <v>194</v>
      </c>
      <c r="D917" s="15" t="s">
        <v>38</v>
      </c>
      <c r="E917" s="15">
        <v>0.5</v>
      </c>
      <c r="AU917" s="43"/>
      <c r="AX917" s="15" t="s">
        <v>86</v>
      </c>
    </row>
    <row r="918">
      <c r="A918" s="40">
        <v>46154.0</v>
      </c>
      <c r="B918" s="4" t="s">
        <v>1505</v>
      </c>
      <c r="C918" s="4" t="s">
        <v>259</v>
      </c>
      <c r="D918" s="15" t="s">
        <v>38</v>
      </c>
      <c r="E918" s="15">
        <v>1.0</v>
      </c>
      <c r="AU918" s="43"/>
      <c r="AX918" s="15" t="s">
        <v>86</v>
      </c>
    </row>
    <row r="919">
      <c r="A919" s="40">
        <v>46154.0</v>
      </c>
      <c r="B919" s="4" t="s">
        <v>58</v>
      </c>
      <c r="C919" s="4" t="s">
        <v>194</v>
      </c>
      <c r="D919" s="15" t="s">
        <v>38</v>
      </c>
      <c r="E919" s="15">
        <v>0.5</v>
      </c>
      <c r="AU919" s="43"/>
      <c r="AX919" s="15" t="s">
        <v>86</v>
      </c>
    </row>
    <row r="920">
      <c r="A920" s="40">
        <v>46154.0</v>
      </c>
      <c r="B920" s="4" t="s">
        <v>236</v>
      </c>
      <c r="C920" s="4" t="s">
        <v>194</v>
      </c>
      <c r="D920" s="15" t="s">
        <v>53</v>
      </c>
      <c r="E920" s="15">
        <v>0.5</v>
      </c>
      <c r="AU920" s="43"/>
      <c r="AX920" s="15" t="s">
        <v>86</v>
      </c>
    </row>
    <row r="921">
      <c r="A921" s="40">
        <v>46154.0</v>
      </c>
      <c r="B921" s="4" t="s">
        <v>224</v>
      </c>
      <c r="C921" s="4" t="s">
        <v>194</v>
      </c>
      <c r="D921" s="15" t="s">
        <v>53</v>
      </c>
      <c r="E921" s="15">
        <v>0.5</v>
      </c>
      <c r="AU921" s="43"/>
      <c r="AX921" s="15" t="s">
        <v>86</v>
      </c>
    </row>
    <row r="922">
      <c r="A922" s="40">
        <v>46154.0</v>
      </c>
      <c r="B922" s="4" t="s">
        <v>196</v>
      </c>
      <c r="C922" s="4" t="s">
        <v>259</v>
      </c>
      <c r="D922" s="15" t="s">
        <v>93</v>
      </c>
      <c r="E922" s="15">
        <v>1.0</v>
      </c>
      <c r="AU922" s="43"/>
      <c r="AX922" s="15" t="s">
        <v>86</v>
      </c>
    </row>
    <row r="923">
      <c r="A923" s="40">
        <v>46154.0</v>
      </c>
      <c r="B923" s="4" t="s">
        <v>221</v>
      </c>
      <c r="C923" s="4" t="s">
        <v>259</v>
      </c>
      <c r="D923" s="15" t="s">
        <v>53</v>
      </c>
      <c r="E923" s="15">
        <v>1.0</v>
      </c>
      <c r="AU923" s="43"/>
      <c r="AX923" s="15" t="s">
        <v>86</v>
      </c>
    </row>
    <row r="924">
      <c r="A924" s="40">
        <v>46154.0</v>
      </c>
      <c r="B924" s="4" t="s">
        <v>239</v>
      </c>
      <c r="C924" s="4" t="s">
        <v>259</v>
      </c>
      <c r="D924" s="15" t="s">
        <v>53</v>
      </c>
      <c r="E924" s="15">
        <v>1.0</v>
      </c>
      <c r="AU924" s="43"/>
      <c r="AX924" s="15" t="s">
        <v>86</v>
      </c>
    </row>
    <row r="925">
      <c r="A925" s="40">
        <v>46155.0</v>
      </c>
      <c r="B925" s="4" t="s">
        <v>170</v>
      </c>
      <c r="C925" s="4" t="s">
        <v>194</v>
      </c>
      <c r="D925" s="15" t="s">
        <v>93</v>
      </c>
      <c r="E925" s="15">
        <v>0.5</v>
      </c>
      <c r="AU925" s="43"/>
      <c r="AX925" s="15" t="s">
        <v>86</v>
      </c>
    </row>
    <row r="926">
      <c r="A926" s="40">
        <v>46155.0</v>
      </c>
      <c r="B926" s="4" t="s">
        <v>189</v>
      </c>
      <c r="C926" s="4" t="s">
        <v>291</v>
      </c>
      <c r="D926" s="15" t="s">
        <v>93</v>
      </c>
      <c r="E926" s="15">
        <v>1.5</v>
      </c>
      <c r="AU926" s="43"/>
      <c r="AX926" s="15" t="s">
        <v>86</v>
      </c>
    </row>
    <row r="927">
      <c r="A927" s="40">
        <v>46155.0</v>
      </c>
      <c r="B927" s="4" t="s">
        <v>196</v>
      </c>
      <c r="C927" s="4" t="s">
        <v>194</v>
      </c>
      <c r="D927" s="15" t="s">
        <v>93</v>
      </c>
      <c r="E927" s="15">
        <v>0.5</v>
      </c>
      <c r="AU927" s="43"/>
      <c r="AX927" s="15" t="s">
        <v>86</v>
      </c>
    </row>
    <row r="928">
      <c r="A928" s="40">
        <v>46155.0</v>
      </c>
      <c r="B928" s="4" t="s">
        <v>1423</v>
      </c>
      <c r="C928" s="4" t="s">
        <v>194</v>
      </c>
      <c r="D928" s="15" t="s">
        <v>38</v>
      </c>
      <c r="E928" s="15">
        <v>0.5</v>
      </c>
      <c r="AU928" s="43"/>
      <c r="AX928" s="15" t="s">
        <v>86</v>
      </c>
    </row>
    <row r="929">
      <c r="A929" s="40">
        <v>46155.0</v>
      </c>
      <c r="B929" s="4" t="s">
        <v>1505</v>
      </c>
      <c r="C929" s="4" t="s">
        <v>259</v>
      </c>
      <c r="D929" s="15" t="s">
        <v>38</v>
      </c>
      <c r="E929" s="15">
        <v>1.0</v>
      </c>
      <c r="AU929" s="43"/>
      <c r="AX929" s="15" t="s">
        <v>86</v>
      </c>
    </row>
    <row r="930">
      <c r="A930" s="40">
        <v>46155.0</v>
      </c>
      <c r="B930" s="4" t="s">
        <v>230</v>
      </c>
      <c r="C930" s="4" t="s">
        <v>194</v>
      </c>
      <c r="D930" s="15" t="s">
        <v>53</v>
      </c>
      <c r="E930" s="15">
        <v>0.5</v>
      </c>
      <c r="AU930" s="43"/>
      <c r="AX930" s="15" t="s">
        <v>86</v>
      </c>
    </row>
    <row r="931">
      <c r="A931" s="40">
        <v>46155.0</v>
      </c>
      <c r="B931" s="4" t="s">
        <v>120</v>
      </c>
      <c r="C931" s="4" t="s">
        <v>194</v>
      </c>
      <c r="D931" s="15" t="s">
        <v>38</v>
      </c>
      <c r="E931" s="15">
        <v>0.5</v>
      </c>
      <c r="AU931" s="43"/>
      <c r="AX931" s="15" t="s">
        <v>86</v>
      </c>
    </row>
    <row r="932">
      <c r="A932" s="40">
        <v>46155.0</v>
      </c>
      <c r="B932" s="4" t="s">
        <v>212</v>
      </c>
      <c r="C932" s="4" t="s">
        <v>558</v>
      </c>
      <c r="D932" s="15" t="s">
        <v>53</v>
      </c>
      <c r="E932" s="15">
        <v>2.0</v>
      </c>
      <c r="AU932" s="43"/>
      <c r="AX932" s="15" t="s">
        <v>86</v>
      </c>
    </row>
    <row r="933">
      <c r="A933" s="40">
        <v>46155.0</v>
      </c>
      <c r="B933" s="4" t="s">
        <v>239</v>
      </c>
      <c r="C933" s="4" t="s">
        <v>259</v>
      </c>
      <c r="D933" s="15" t="s">
        <v>53</v>
      </c>
      <c r="E933" s="15">
        <v>1.0</v>
      </c>
      <c r="AU933" s="43"/>
      <c r="AX933" s="15" t="s">
        <v>86</v>
      </c>
    </row>
    <row r="934">
      <c r="A934" s="40">
        <v>46156.0</v>
      </c>
      <c r="B934" s="4" t="s">
        <v>115</v>
      </c>
      <c r="C934" s="4" t="s">
        <v>259</v>
      </c>
      <c r="D934" s="15" t="s">
        <v>38</v>
      </c>
      <c r="E934" s="15">
        <v>1.0</v>
      </c>
      <c r="AU934" s="43"/>
      <c r="AX934" s="15" t="s">
        <v>86</v>
      </c>
    </row>
    <row r="935">
      <c r="A935" s="40">
        <v>46156.0</v>
      </c>
      <c r="B935" s="4" t="s">
        <v>48</v>
      </c>
      <c r="C935" s="4" t="s">
        <v>194</v>
      </c>
      <c r="D935" s="15" t="s">
        <v>38</v>
      </c>
      <c r="E935" s="15">
        <v>0.5</v>
      </c>
      <c r="AU935" s="43"/>
      <c r="AX935" s="15" t="s">
        <v>86</v>
      </c>
    </row>
    <row r="936">
      <c r="A936" s="40">
        <v>46156.0</v>
      </c>
      <c r="B936" s="4" t="s">
        <v>63</v>
      </c>
      <c r="C936" s="4" t="s">
        <v>259</v>
      </c>
      <c r="D936" s="15" t="s">
        <v>38</v>
      </c>
      <c r="E936" s="15">
        <v>1.0</v>
      </c>
      <c r="AU936" s="43"/>
      <c r="AX936" s="15" t="s">
        <v>86</v>
      </c>
    </row>
    <row r="937">
      <c r="A937" s="40">
        <v>46156.0</v>
      </c>
      <c r="B937" s="4" t="s">
        <v>58</v>
      </c>
      <c r="C937" s="4" t="s">
        <v>194</v>
      </c>
      <c r="D937" s="15" t="s">
        <v>38</v>
      </c>
      <c r="E937" s="15">
        <v>0.5</v>
      </c>
      <c r="AU937" s="43"/>
      <c r="AX937" s="15" t="s">
        <v>86</v>
      </c>
    </row>
    <row r="938">
      <c r="A938" s="40">
        <v>46156.0</v>
      </c>
      <c r="B938" s="4" t="s">
        <v>170</v>
      </c>
      <c r="C938" s="4" t="s">
        <v>194</v>
      </c>
      <c r="D938" s="15" t="s">
        <v>93</v>
      </c>
      <c r="E938" s="15">
        <v>0.5</v>
      </c>
      <c r="AU938" s="43"/>
      <c r="AX938" s="15" t="s">
        <v>86</v>
      </c>
    </row>
    <row r="939">
      <c r="A939" s="40">
        <v>46156.0</v>
      </c>
      <c r="B939" s="4" t="s">
        <v>192</v>
      </c>
      <c r="C939" s="4" t="s">
        <v>259</v>
      </c>
      <c r="D939" s="15" t="s">
        <v>93</v>
      </c>
      <c r="E939" s="15">
        <v>1.0</v>
      </c>
      <c r="AU939" s="43"/>
      <c r="AX939" s="15" t="s">
        <v>86</v>
      </c>
    </row>
    <row r="940">
      <c r="A940" s="40">
        <v>46156.0</v>
      </c>
      <c r="B940" s="4" t="s">
        <v>189</v>
      </c>
      <c r="C940" s="4" t="s">
        <v>259</v>
      </c>
      <c r="D940" s="15" t="s">
        <v>93</v>
      </c>
      <c r="E940" s="15">
        <v>1.0</v>
      </c>
      <c r="AU940" s="43"/>
      <c r="AX940" s="15" t="s">
        <v>86</v>
      </c>
    </row>
    <row r="941">
      <c r="A941" s="40">
        <v>46156.0</v>
      </c>
      <c r="B941" s="4" t="s">
        <v>218</v>
      </c>
      <c r="C941" s="4" t="s">
        <v>259</v>
      </c>
      <c r="D941" s="15" t="s">
        <v>53</v>
      </c>
      <c r="E941" s="15">
        <v>1.0</v>
      </c>
      <c r="AU941" s="43"/>
      <c r="AX941" s="15" t="s">
        <v>86</v>
      </c>
    </row>
    <row r="942">
      <c r="A942" s="40">
        <v>46157.0</v>
      </c>
      <c r="B942" s="4" t="s">
        <v>170</v>
      </c>
      <c r="C942" s="4" t="s">
        <v>194</v>
      </c>
      <c r="D942" s="15" t="s">
        <v>93</v>
      </c>
      <c r="E942" s="15">
        <v>0.5</v>
      </c>
      <c r="AU942" s="43"/>
      <c r="AX942" s="15" t="s">
        <v>86</v>
      </c>
    </row>
    <row r="943">
      <c r="A943" s="40">
        <v>46157.0</v>
      </c>
      <c r="B943" s="4" t="s">
        <v>115</v>
      </c>
      <c r="C943" s="4" t="s">
        <v>1747</v>
      </c>
      <c r="D943" s="15" t="s">
        <v>38</v>
      </c>
      <c r="E943" s="15">
        <v>3.0</v>
      </c>
      <c r="AU943" s="43"/>
      <c r="AX943" s="15" t="s">
        <v>86</v>
      </c>
    </row>
    <row r="944">
      <c r="A944" s="40">
        <v>46157.0</v>
      </c>
      <c r="B944" s="4" t="s">
        <v>196</v>
      </c>
      <c r="C944" s="4" t="s">
        <v>1747</v>
      </c>
      <c r="D944" s="15" t="s">
        <v>93</v>
      </c>
      <c r="E944" s="15">
        <v>3.0</v>
      </c>
      <c r="AU944" s="43"/>
      <c r="AX944" s="15" t="s">
        <v>86</v>
      </c>
    </row>
    <row r="945">
      <c r="A945" s="40">
        <v>46157.0</v>
      </c>
      <c r="B945" s="4" t="s">
        <v>212</v>
      </c>
      <c r="C945" s="4" t="s">
        <v>558</v>
      </c>
      <c r="D945" s="15" t="s">
        <v>53</v>
      </c>
      <c r="E945" s="15">
        <v>2.0</v>
      </c>
      <c r="AU945" s="43"/>
      <c r="AX945" s="15" t="s">
        <v>86</v>
      </c>
    </row>
    <row r="946">
      <c r="A946" s="40">
        <v>46160.0</v>
      </c>
      <c r="B946" s="4" t="s">
        <v>230</v>
      </c>
      <c r="C946" s="4" t="s">
        <v>194</v>
      </c>
      <c r="D946" s="15" t="s">
        <v>53</v>
      </c>
      <c r="E946" s="15">
        <v>0.5</v>
      </c>
      <c r="AU946" s="43"/>
      <c r="AX946" s="15" t="s">
        <v>86</v>
      </c>
    </row>
    <row r="947">
      <c r="A947" s="40">
        <v>46160.0</v>
      </c>
      <c r="B947" s="4" t="s">
        <v>230</v>
      </c>
      <c r="C947" s="4" t="s">
        <v>194</v>
      </c>
      <c r="D947" s="15" t="s">
        <v>53</v>
      </c>
      <c r="E947" s="15">
        <v>0.5</v>
      </c>
      <c r="AU947" s="43"/>
      <c r="AX947" s="15" t="s">
        <v>86</v>
      </c>
    </row>
    <row r="948">
      <c r="A948" s="40">
        <v>46160.0</v>
      </c>
      <c r="B948" s="4" t="s">
        <v>196</v>
      </c>
      <c r="C948" s="4" t="s">
        <v>558</v>
      </c>
      <c r="D948" s="15" t="s">
        <v>93</v>
      </c>
      <c r="E948" s="15">
        <v>2.0</v>
      </c>
      <c r="AU948" s="43"/>
      <c r="AX948" s="15" t="s">
        <v>86</v>
      </c>
    </row>
    <row r="949">
      <c r="A949" s="40">
        <v>46160.0</v>
      </c>
      <c r="B949" s="4" t="s">
        <v>196</v>
      </c>
      <c r="C949" s="4" t="s">
        <v>259</v>
      </c>
      <c r="D949" s="15" t="s">
        <v>93</v>
      </c>
      <c r="E949" s="15">
        <v>1.0</v>
      </c>
      <c r="AU949" s="43"/>
      <c r="AX949" s="15" t="s">
        <v>86</v>
      </c>
    </row>
    <row r="950">
      <c r="A950" s="40">
        <v>46160.0</v>
      </c>
      <c r="B950" s="4" t="s">
        <v>227</v>
      </c>
      <c r="C950" s="4" t="s">
        <v>259</v>
      </c>
      <c r="D950" s="15" t="s">
        <v>53</v>
      </c>
      <c r="E950" s="15">
        <v>1.0</v>
      </c>
      <c r="AU950" s="43"/>
      <c r="AX950" s="15" t="s">
        <v>86</v>
      </c>
    </row>
    <row r="951">
      <c r="A951" s="40">
        <v>46160.0</v>
      </c>
      <c r="B951" s="4" t="s">
        <v>1505</v>
      </c>
      <c r="C951" s="4" t="s">
        <v>194</v>
      </c>
      <c r="D951" s="15" t="s">
        <v>38</v>
      </c>
      <c r="E951" s="15">
        <v>0.5</v>
      </c>
      <c r="AU951" s="43"/>
      <c r="AX951" s="15" t="s">
        <v>86</v>
      </c>
    </row>
    <row r="952">
      <c r="A952" s="40">
        <v>46160.0</v>
      </c>
      <c r="B952" s="4" t="s">
        <v>63</v>
      </c>
      <c r="C952" s="4" t="s">
        <v>291</v>
      </c>
      <c r="D952" s="15" t="s">
        <v>38</v>
      </c>
      <c r="E952" s="15">
        <v>1.5</v>
      </c>
      <c r="AU952" s="43"/>
      <c r="AX952" s="15" t="s">
        <v>86</v>
      </c>
    </row>
    <row r="953">
      <c r="A953" s="40">
        <v>46161.0</v>
      </c>
      <c r="B953" s="4" t="s">
        <v>48</v>
      </c>
      <c r="C953" s="4" t="s">
        <v>259</v>
      </c>
      <c r="D953" s="15" t="s">
        <v>38</v>
      </c>
      <c r="E953" s="15">
        <v>1.0</v>
      </c>
      <c r="AU953" s="43"/>
      <c r="AX953" s="15" t="s">
        <v>86</v>
      </c>
    </row>
    <row r="954">
      <c r="A954" s="40">
        <v>46161.0</v>
      </c>
      <c r="B954" s="4" t="s">
        <v>63</v>
      </c>
      <c r="C954" s="4" t="s">
        <v>259</v>
      </c>
      <c r="D954" s="15" t="s">
        <v>38</v>
      </c>
      <c r="E954" s="15">
        <v>1.0</v>
      </c>
      <c r="AU954" s="43"/>
      <c r="AX954" s="15" t="s">
        <v>86</v>
      </c>
    </row>
    <row r="955">
      <c r="A955" s="40">
        <v>46161.0</v>
      </c>
      <c r="B955" s="4" t="s">
        <v>58</v>
      </c>
      <c r="C955" s="4" t="s">
        <v>194</v>
      </c>
      <c r="D955" s="15" t="s">
        <v>38</v>
      </c>
      <c r="E955" s="15">
        <v>0.5</v>
      </c>
      <c r="AU955" s="43"/>
      <c r="AX955" s="15" t="s">
        <v>86</v>
      </c>
    </row>
    <row r="956">
      <c r="A956" s="40">
        <v>46161.0</v>
      </c>
      <c r="B956" s="4" t="s">
        <v>170</v>
      </c>
      <c r="C956" s="4" t="s">
        <v>194</v>
      </c>
      <c r="D956" s="15" t="s">
        <v>93</v>
      </c>
      <c r="E956" s="15">
        <v>0.5</v>
      </c>
      <c r="AU956" s="43"/>
      <c r="AX956" s="15" t="s">
        <v>86</v>
      </c>
    </row>
    <row r="957">
      <c r="A957" s="40">
        <v>46161.0</v>
      </c>
      <c r="B957" s="4" t="s">
        <v>48</v>
      </c>
      <c r="C957" s="4" t="s">
        <v>194</v>
      </c>
      <c r="D957" s="15" t="s">
        <v>38</v>
      </c>
      <c r="E957" s="15">
        <v>0.5</v>
      </c>
      <c r="AU957" s="43"/>
      <c r="AX957" s="15" t="s">
        <v>86</v>
      </c>
    </row>
    <row r="958">
      <c r="A958" s="40">
        <v>46161.0</v>
      </c>
      <c r="B958" s="4" t="s">
        <v>208</v>
      </c>
      <c r="C958" s="4" t="s">
        <v>291</v>
      </c>
      <c r="D958" s="15" t="s">
        <v>53</v>
      </c>
      <c r="E958" s="15">
        <v>1.5</v>
      </c>
      <c r="AU958" s="43"/>
      <c r="AX958" s="15" t="s">
        <v>86</v>
      </c>
    </row>
    <row r="959">
      <c r="A959" s="40">
        <v>46161.0</v>
      </c>
      <c r="B959" s="4" t="s">
        <v>1505</v>
      </c>
      <c r="C959" s="4" t="s">
        <v>259</v>
      </c>
      <c r="D959" s="15" t="s">
        <v>38</v>
      </c>
      <c r="E959" s="15">
        <v>1.0</v>
      </c>
      <c r="AU959" s="43"/>
      <c r="AX959" s="15" t="s">
        <v>86</v>
      </c>
    </row>
    <row r="960">
      <c r="A960" s="40">
        <v>46161.0</v>
      </c>
      <c r="B960" s="4" t="s">
        <v>1397</v>
      </c>
      <c r="C960" s="4" t="s">
        <v>194</v>
      </c>
      <c r="D960" s="15" t="s">
        <v>38</v>
      </c>
      <c r="E960" s="15">
        <v>0.5</v>
      </c>
      <c r="AU960" s="43"/>
      <c r="AX960" s="15" t="s">
        <v>86</v>
      </c>
    </row>
    <row r="961">
      <c r="A961" s="40">
        <v>46161.0</v>
      </c>
      <c r="B961" s="4" t="s">
        <v>196</v>
      </c>
      <c r="C961" s="4" t="s">
        <v>194</v>
      </c>
      <c r="D961" s="15" t="s">
        <v>93</v>
      </c>
      <c r="E961" s="15">
        <v>0.5</v>
      </c>
      <c r="AU961" s="43"/>
      <c r="AX961" s="15" t="s">
        <v>86</v>
      </c>
    </row>
    <row r="962">
      <c r="A962" s="40">
        <v>46161.0</v>
      </c>
      <c r="B962" s="4" t="s">
        <v>248</v>
      </c>
      <c r="C962" s="4" t="s">
        <v>194</v>
      </c>
      <c r="D962" s="15" t="s">
        <v>53</v>
      </c>
      <c r="E962" s="15">
        <v>0.5</v>
      </c>
      <c r="AU962" s="43"/>
      <c r="AX962" s="15" t="s">
        <v>86</v>
      </c>
    </row>
    <row r="963">
      <c r="A963" s="40">
        <v>46161.0</v>
      </c>
      <c r="B963" s="4" t="s">
        <v>218</v>
      </c>
      <c r="C963" s="4" t="s">
        <v>259</v>
      </c>
      <c r="D963" s="15" t="s">
        <v>53</v>
      </c>
      <c r="E963" s="15">
        <v>1.0</v>
      </c>
      <c r="AU963" s="43"/>
      <c r="AX963" s="15" t="s">
        <v>86</v>
      </c>
    </row>
    <row r="964">
      <c r="A964" s="40">
        <v>46162.0</v>
      </c>
      <c r="B964" s="4" t="s">
        <v>170</v>
      </c>
      <c r="C964" s="4" t="s">
        <v>194</v>
      </c>
      <c r="D964" s="15" t="s">
        <v>93</v>
      </c>
      <c r="E964" s="15">
        <v>0.5</v>
      </c>
      <c r="AU964" s="43"/>
      <c r="AX964" s="15" t="s">
        <v>86</v>
      </c>
    </row>
    <row r="965">
      <c r="A965" s="40">
        <v>46162.0</v>
      </c>
      <c r="B965" s="4" t="s">
        <v>218</v>
      </c>
      <c r="C965" s="4" t="s">
        <v>194</v>
      </c>
      <c r="D965" s="15" t="s">
        <v>53</v>
      </c>
      <c r="E965" s="15">
        <v>0.5</v>
      </c>
      <c r="AU965" s="43"/>
      <c r="AX965" s="15" t="s">
        <v>86</v>
      </c>
    </row>
    <row r="966">
      <c r="A966" s="40">
        <v>46162.0</v>
      </c>
      <c r="B966" s="4" t="s">
        <v>58</v>
      </c>
      <c r="C966" s="4" t="s">
        <v>194</v>
      </c>
      <c r="D966" s="15" t="s">
        <v>38</v>
      </c>
      <c r="E966" s="15">
        <v>0.5</v>
      </c>
      <c r="AU966" s="43"/>
      <c r="AX966" s="15" t="s">
        <v>86</v>
      </c>
    </row>
    <row r="967">
      <c r="A967" s="40">
        <v>46162.0</v>
      </c>
      <c r="B967" s="4" t="s">
        <v>189</v>
      </c>
      <c r="C967" s="4" t="s">
        <v>194</v>
      </c>
      <c r="D967" s="15" t="s">
        <v>93</v>
      </c>
      <c r="E967" s="15">
        <v>0.5</v>
      </c>
      <c r="AU967" s="43"/>
      <c r="AX967" s="15" t="s">
        <v>86</v>
      </c>
    </row>
    <row r="968">
      <c r="A968" s="40">
        <v>46162.0</v>
      </c>
      <c r="B968" s="4" t="s">
        <v>218</v>
      </c>
      <c r="C968" s="4" t="s">
        <v>259</v>
      </c>
      <c r="D968" s="15" t="s">
        <v>53</v>
      </c>
      <c r="E968" s="15">
        <v>1.0</v>
      </c>
      <c r="AU968" s="43"/>
      <c r="AX968" s="15" t="s">
        <v>86</v>
      </c>
    </row>
    <row r="969">
      <c r="A969" s="40">
        <v>46162.0</v>
      </c>
      <c r="B969" s="4" t="s">
        <v>239</v>
      </c>
      <c r="C969" s="4" t="s">
        <v>194</v>
      </c>
      <c r="D969" s="15" t="s">
        <v>53</v>
      </c>
      <c r="E969" s="15">
        <v>0.5</v>
      </c>
      <c r="AU969" s="43"/>
      <c r="AX969" s="15" t="s">
        <v>86</v>
      </c>
    </row>
    <row r="970">
      <c r="A970" s="40">
        <v>46162.0</v>
      </c>
      <c r="B970" s="4" t="s">
        <v>233</v>
      </c>
      <c r="C970" s="4" t="s">
        <v>194</v>
      </c>
      <c r="D970" s="15" t="s">
        <v>53</v>
      </c>
      <c r="E970" s="15">
        <v>0.5</v>
      </c>
      <c r="AU970" s="43"/>
      <c r="AX970" s="15" t="s">
        <v>86</v>
      </c>
    </row>
    <row r="971">
      <c r="A971" s="40">
        <v>46162.0</v>
      </c>
      <c r="B971" s="4" t="s">
        <v>262</v>
      </c>
      <c r="C971" s="4" t="s">
        <v>291</v>
      </c>
      <c r="D971" s="15" t="s">
        <v>53</v>
      </c>
      <c r="E971" s="15">
        <v>1.5</v>
      </c>
      <c r="AU971" s="43"/>
      <c r="AX971" s="15" t="s">
        <v>86</v>
      </c>
    </row>
    <row r="972">
      <c r="A972" s="40">
        <v>46162.0</v>
      </c>
      <c r="B972" s="4" t="s">
        <v>252</v>
      </c>
      <c r="C972" s="4" t="s">
        <v>194</v>
      </c>
      <c r="D972" s="15" t="s">
        <v>53</v>
      </c>
      <c r="E972" s="15">
        <v>0.5</v>
      </c>
      <c r="AU972" s="43"/>
      <c r="AX972" s="15" t="s">
        <v>86</v>
      </c>
    </row>
    <row r="973">
      <c r="A973" s="40">
        <v>46162.0</v>
      </c>
      <c r="B973" s="4" t="s">
        <v>257</v>
      </c>
      <c r="C973" s="4" t="s">
        <v>194</v>
      </c>
      <c r="D973" s="15" t="s">
        <v>53</v>
      </c>
      <c r="E973" s="15">
        <v>0.5</v>
      </c>
      <c r="AU973" s="43"/>
      <c r="AX973" s="15" t="s">
        <v>86</v>
      </c>
    </row>
    <row r="974">
      <c r="A974" s="40">
        <v>46162.0</v>
      </c>
      <c r="B974" s="4" t="s">
        <v>236</v>
      </c>
      <c r="C974" s="4" t="s">
        <v>259</v>
      </c>
      <c r="D974" s="15" t="s">
        <v>53</v>
      </c>
      <c r="E974" s="15">
        <v>1.0</v>
      </c>
      <c r="AU974" s="43"/>
      <c r="AX974" s="15" t="s">
        <v>86</v>
      </c>
    </row>
    <row r="975">
      <c r="A975" s="40">
        <v>46163.0</v>
      </c>
      <c r="B975" s="4" t="s">
        <v>170</v>
      </c>
      <c r="C975" s="4" t="s">
        <v>194</v>
      </c>
      <c r="D975" s="15" t="s">
        <v>93</v>
      </c>
      <c r="E975" s="15">
        <v>0.5</v>
      </c>
      <c r="AU975" s="43"/>
      <c r="AX975" s="15" t="s">
        <v>86</v>
      </c>
    </row>
    <row r="976">
      <c r="A976" s="40">
        <v>46163.0</v>
      </c>
      <c r="B976" s="4" t="s">
        <v>48</v>
      </c>
      <c r="C976" s="4" t="s">
        <v>194</v>
      </c>
      <c r="D976" s="15" t="s">
        <v>38</v>
      </c>
      <c r="E976" s="15">
        <v>0.5</v>
      </c>
      <c r="AU976" s="43"/>
      <c r="AX976" s="15" t="s">
        <v>86</v>
      </c>
    </row>
    <row r="977">
      <c r="A977" s="40">
        <v>46163.0</v>
      </c>
      <c r="B977" s="4" t="s">
        <v>58</v>
      </c>
      <c r="C977" s="4" t="s">
        <v>194</v>
      </c>
      <c r="D977" s="15" t="s">
        <v>38</v>
      </c>
      <c r="E977" s="15">
        <v>0.5</v>
      </c>
      <c r="AU977" s="43"/>
      <c r="AX977" s="15" t="s">
        <v>86</v>
      </c>
    </row>
    <row r="978">
      <c r="A978" s="40">
        <v>46163.0</v>
      </c>
      <c r="B978" s="4" t="s">
        <v>170</v>
      </c>
      <c r="C978" s="4" t="s">
        <v>194</v>
      </c>
      <c r="D978" s="15" t="s">
        <v>93</v>
      </c>
      <c r="E978" s="15">
        <v>0.5</v>
      </c>
      <c r="AU978" s="43"/>
      <c r="AX978" s="15" t="s">
        <v>86</v>
      </c>
    </row>
    <row r="979">
      <c r="A979" s="40">
        <v>46163.0</v>
      </c>
      <c r="B979" s="4" t="s">
        <v>189</v>
      </c>
      <c r="C979" s="4" t="s">
        <v>194</v>
      </c>
      <c r="D979" s="15" t="s">
        <v>93</v>
      </c>
      <c r="E979" s="15">
        <v>0.5</v>
      </c>
      <c r="AU979" s="43"/>
      <c r="AX979" s="15" t="s">
        <v>86</v>
      </c>
    </row>
    <row r="980">
      <c r="A980" s="40">
        <v>46163.0</v>
      </c>
      <c r="B980" s="4" t="s">
        <v>196</v>
      </c>
      <c r="C980" s="4" t="s">
        <v>259</v>
      </c>
      <c r="D980" s="15" t="s">
        <v>93</v>
      </c>
      <c r="E980" s="15">
        <v>1.0</v>
      </c>
      <c r="AU980" s="43"/>
      <c r="AX980" s="15" t="s">
        <v>86</v>
      </c>
    </row>
    <row r="981">
      <c r="A981" s="40">
        <v>46163.0</v>
      </c>
      <c r="B981" s="4" t="s">
        <v>63</v>
      </c>
      <c r="C981" s="4" t="s">
        <v>259</v>
      </c>
      <c r="D981" s="15" t="s">
        <v>38</v>
      </c>
      <c r="E981" s="15">
        <v>1.0</v>
      </c>
      <c r="AU981" s="43"/>
      <c r="AX981" s="15" t="s">
        <v>86</v>
      </c>
    </row>
    <row r="982">
      <c r="A982" s="40">
        <v>46163.0</v>
      </c>
      <c r="B982" s="4" t="s">
        <v>205</v>
      </c>
      <c r="C982" s="4" t="s">
        <v>259</v>
      </c>
      <c r="D982" s="15" t="s">
        <v>53</v>
      </c>
      <c r="E982" s="15">
        <v>1.0</v>
      </c>
      <c r="AU982" s="43"/>
      <c r="AX982" s="15" t="s">
        <v>86</v>
      </c>
    </row>
    <row r="983">
      <c r="A983" s="40">
        <v>46163.0</v>
      </c>
      <c r="B983" s="4" t="s">
        <v>115</v>
      </c>
      <c r="C983" s="4" t="s">
        <v>194</v>
      </c>
      <c r="D983" s="15" t="s">
        <v>38</v>
      </c>
      <c r="E983" s="15">
        <v>0.5</v>
      </c>
      <c r="AU983" s="43"/>
      <c r="AX983" s="15" t="s">
        <v>86</v>
      </c>
    </row>
    <row r="984">
      <c r="A984" s="40">
        <v>46163.0</v>
      </c>
      <c r="B984" s="4" t="s">
        <v>196</v>
      </c>
      <c r="C984" s="4" t="s">
        <v>259</v>
      </c>
      <c r="D984" s="15" t="s">
        <v>93</v>
      </c>
      <c r="E984" s="15">
        <v>1.0</v>
      </c>
      <c r="AU984" s="43"/>
      <c r="AX984" s="15" t="s">
        <v>86</v>
      </c>
    </row>
    <row r="985">
      <c r="A985" s="40">
        <v>46163.0</v>
      </c>
      <c r="B985" s="4" t="s">
        <v>227</v>
      </c>
      <c r="C985" s="4" t="s">
        <v>259</v>
      </c>
      <c r="D985" s="15" t="s">
        <v>53</v>
      </c>
      <c r="E985" s="15">
        <v>1.0</v>
      </c>
      <c r="AU985" s="43"/>
      <c r="AX985" s="15" t="s">
        <v>86</v>
      </c>
    </row>
    <row r="986">
      <c r="A986" s="40">
        <v>46164.0</v>
      </c>
      <c r="B986" s="4" t="s">
        <v>189</v>
      </c>
      <c r="C986" s="4" t="s">
        <v>194</v>
      </c>
      <c r="D986" s="15" t="s">
        <v>93</v>
      </c>
      <c r="E986" s="15">
        <v>0.5</v>
      </c>
      <c r="AU986" s="43"/>
      <c r="AX986" s="15" t="s">
        <v>86</v>
      </c>
    </row>
    <row r="987">
      <c r="A987" s="40">
        <v>46164.0</v>
      </c>
      <c r="B987" s="4" t="s">
        <v>176</v>
      </c>
      <c r="C987" s="4" t="s">
        <v>259</v>
      </c>
      <c r="D987" s="15" t="s">
        <v>93</v>
      </c>
      <c r="E987" s="15">
        <v>1.0</v>
      </c>
      <c r="AU987" s="43"/>
      <c r="AX987" s="15" t="s">
        <v>86</v>
      </c>
    </row>
    <row r="988">
      <c r="A988" s="40">
        <v>46164.0</v>
      </c>
      <c r="B988" s="4" t="s">
        <v>173</v>
      </c>
      <c r="C988" s="4" t="s">
        <v>194</v>
      </c>
      <c r="D988" s="15" t="s">
        <v>93</v>
      </c>
      <c r="E988" s="15">
        <v>0.5</v>
      </c>
      <c r="AU988" s="43"/>
      <c r="AX988" s="15" t="s">
        <v>86</v>
      </c>
    </row>
    <row r="989">
      <c r="A989" s="40">
        <v>46164.0</v>
      </c>
      <c r="B989" s="4" t="s">
        <v>115</v>
      </c>
      <c r="C989" s="4" t="s">
        <v>259</v>
      </c>
      <c r="D989" s="15" t="s">
        <v>38</v>
      </c>
      <c r="E989" s="15">
        <v>1.0</v>
      </c>
      <c r="AU989" s="43"/>
      <c r="AX989" s="15" t="s">
        <v>86</v>
      </c>
    </row>
    <row r="990">
      <c r="A990" s="40">
        <v>46164.0</v>
      </c>
      <c r="B990" s="4" t="s">
        <v>120</v>
      </c>
      <c r="C990" s="4" t="s">
        <v>259</v>
      </c>
      <c r="D990" s="15" t="s">
        <v>38</v>
      </c>
      <c r="E990" s="15">
        <v>1.0</v>
      </c>
      <c r="AU990" s="43"/>
      <c r="AX990" s="15" t="s">
        <v>86</v>
      </c>
    </row>
    <row r="991">
      <c r="A991" s="40">
        <v>46164.0</v>
      </c>
      <c r="B991" s="4" t="s">
        <v>248</v>
      </c>
      <c r="C991" s="4" t="s">
        <v>291</v>
      </c>
      <c r="D991" s="15" t="s">
        <v>53</v>
      </c>
      <c r="E991" s="15">
        <v>1.5</v>
      </c>
      <c r="AU991" s="43"/>
      <c r="AX991" s="15" t="s">
        <v>86</v>
      </c>
    </row>
    <row r="992">
      <c r="A992" s="40">
        <v>46164.0</v>
      </c>
      <c r="B992" s="4" t="s">
        <v>63</v>
      </c>
      <c r="C992" s="4" t="s">
        <v>259</v>
      </c>
      <c r="D992" s="15" t="s">
        <v>38</v>
      </c>
      <c r="E992" s="15">
        <v>1.0</v>
      </c>
      <c r="AU992" s="43"/>
      <c r="AX992" s="15" t="s">
        <v>86</v>
      </c>
    </row>
    <row r="993">
      <c r="A993" s="40">
        <v>46164.0</v>
      </c>
      <c r="B993" s="4" t="s">
        <v>196</v>
      </c>
      <c r="C993" s="4" t="s">
        <v>194</v>
      </c>
      <c r="D993" s="15" t="s">
        <v>93</v>
      </c>
      <c r="E993" s="15">
        <v>0.5</v>
      </c>
      <c r="AU993" s="43"/>
      <c r="AX993" s="15" t="s">
        <v>86</v>
      </c>
    </row>
    <row r="994">
      <c r="A994" s="40">
        <v>46169.0</v>
      </c>
      <c r="B994" s="4" t="s">
        <v>63</v>
      </c>
      <c r="C994" s="4" t="s">
        <v>259</v>
      </c>
      <c r="D994" s="15" t="s">
        <v>38</v>
      </c>
      <c r="E994" s="15">
        <v>1.0</v>
      </c>
      <c r="AU994" s="43"/>
      <c r="AX994" s="15" t="s">
        <v>86</v>
      </c>
    </row>
    <row r="995">
      <c r="A995" s="40">
        <v>46169.0</v>
      </c>
      <c r="B995" s="4" t="s">
        <v>63</v>
      </c>
      <c r="C995" s="4" t="s">
        <v>194</v>
      </c>
      <c r="D995" s="15" t="s">
        <v>38</v>
      </c>
      <c r="E995" s="15">
        <v>0.5</v>
      </c>
      <c r="AU995" s="43"/>
      <c r="AX995" s="15" t="s">
        <v>86</v>
      </c>
    </row>
    <row r="996">
      <c r="A996" s="40">
        <v>46169.0</v>
      </c>
      <c r="B996" s="4" t="s">
        <v>176</v>
      </c>
      <c r="C996" s="4" t="s">
        <v>259</v>
      </c>
      <c r="D996" s="15" t="s">
        <v>93</v>
      </c>
      <c r="E996" s="15">
        <v>1.0</v>
      </c>
      <c r="AU996" s="43"/>
      <c r="AX996" s="15" t="s">
        <v>86</v>
      </c>
    </row>
    <row r="997">
      <c r="A997" s="40">
        <v>46169.0</v>
      </c>
      <c r="B997" s="4" t="s">
        <v>230</v>
      </c>
      <c r="C997" s="4" t="s">
        <v>259</v>
      </c>
      <c r="D997" s="15" t="s">
        <v>53</v>
      </c>
      <c r="E997" s="15">
        <v>1.0</v>
      </c>
      <c r="AU997" s="43"/>
      <c r="AX997" s="15" t="s">
        <v>86</v>
      </c>
    </row>
    <row r="998">
      <c r="A998" s="40">
        <v>46169.0</v>
      </c>
      <c r="B998" s="4" t="s">
        <v>48</v>
      </c>
      <c r="C998" s="4" t="s">
        <v>259</v>
      </c>
      <c r="D998" s="15" t="s">
        <v>38</v>
      </c>
      <c r="E998" s="15">
        <v>1.0</v>
      </c>
      <c r="AU998" s="43"/>
      <c r="AX998" s="15" t="s">
        <v>86</v>
      </c>
    </row>
    <row r="999">
      <c r="A999" s="40">
        <v>46169.0</v>
      </c>
      <c r="B999" s="4" t="s">
        <v>192</v>
      </c>
      <c r="C999" s="4" t="s">
        <v>259</v>
      </c>
      <c r="D999" s="15" t="s">
        <v>93</v>
      </c>
      <c r="E999" s="15">
        <v>1.0</v>
      </c>
      <c r="AU999" s="43"/>
      <c r="AX999" s="15" t="s">
        <v>86</v>
      </c>
    </row>
    <row r="1000">
      <c r="A1000" s="40">
        <v>46169.0</v>
      </c>
      <c r="B1000" s="4" t="s">
        <v>218</v>
      </c>
      <c r="C1000" s="4" t="s">
        <v>259</v>
      </c>
      <c r="D1000" s="15" t="s">
        <v>53</v>
      </c>
      <c r="E1000" s="15">
        <v>1.0</v>
      </c>
      <c r="AU1000" s="43"/>
      <c r="AX1000" s="15" t="s">
        <v>86</v>
      </c>
    </row>
    <row r="1001">
      <c r="A1001" s="40">
        <v>46169.0</v>
      </c>
      <c r="B1001" s="4" t="s">
        <v>248</v>
      </c>
      <c r="C1001" s="4" t="s">
        <v>259</v>
      </c>
      <c r="D1001" s="15" t="s">
        <v>53</v>
      </c>
      <c r="E1001" s="15">
        <v>1.0</v>
      </c>
      <c r="AU1001" s="43"/>
      <c r="AX1001" s="15" t="s">
        <v>86</v>
      </c>
    </row>
    <row r="1002">
      <c r="A1002" s="40">
        <v>46170.0</v>
      </c>
      <c r="B1002" s="4" t="s">
        <v>63</v>
      </c>
      <c r="C1002" s="4" t="s">
        <v>259</v>
      </c>
      <c r="D1002" s="15" t="s">
        <v>38</v>
      </c>
      <c r="E1002" s="15">
        <v>1.0</v>
      </c>
      <c r="AU1002" s="43"/>
      <c r="AX1002" s="15" t="s">
        <v>86</v>
      </c>
    </row>
    <row r="1003">
      <c r="A1003" s="40">
        <v>46170.0</v>
      </c>
      <c r="B1003" s="4" t="s">
        <v>170</v>
      </c>
      <c r="C1003" s="4" t="s">
        <v>194</v>
      </c>
      <c r="D1003" s="15" t="s">
        <v>93</v>
      </c>
      <c r="E1003" s="15">
        <v>0.5</v>
      </c>
      <c r="AU1003" s="43"/>
      <c r="AX1003" s="15" t="s">
        <v>86</v>
      </c>
    </row>
    <row r="1004">
      <c r="A1004" s="40">
        <v>46170.0</v>
      </c>
      <c r="B1004" s="4" t="s">
        <v>248</v>
      </c>
      <c r="C1004" s="4" t="s">
        <v>259</v>
      </c>
      <c r="D1004" s="15" t="s">
        <v>53</v>
      </c>
      <c r="E1004" s="15">
        <v>1.0</v>
      </c>
      <c r="AU1004" s="43"/>
      <c r="AX1004" s="15" t="s">
        <v>86</v>
      </c>
    </row>
    <row r="1005">
      <c r="A1005" s="40">
        <v>46170.0</v>
      </c>
      <c r="B1005" s="4" t="s">
        <v>106</v>
      </c>
      <c r="C1005" s="4" t="s">
        <v>259</v>
      </c>
      <c r="D1005" s="15" t="s">
        <v>38</v>
      </c>
      <c r="E1005" s="15">
        <v>1.0</v>
      </c>
      <c r="AU1005" s="43"/>
      <c r="AX1005" s="15" t="s">
        <v>86</v>
      </c>
    </row>
    <row r="1006">
      <c r="A1006" s="40">
        <v>46170.0</v>
      </c>
      <c r="B1006" s="4" t="s">
        <v>58</v>
      </c>
      <c r="C1006" s="4" t="s">
        <v>194</v>
      </c>
      <c r="D1006" s="15" t="s">
        <v>38</v>
      </c>
      <c r="E1006" s="15">
        <v>0.5</v>
      </c>
      <c r="AU1006" s="43"/>
      <c r="AX1006" s="15" t="s">
        <v>86</v>
      </c>
    </row>
    <row r="1007">
      <c r="A1007" s="40">
        <v>46170.0</v>
      </c>
      <c r="B1007" s="4" t="s">
        <v>189</v>
      </c>
      <c r="C1007" s="4" t="s">
        <v>259</v>
      </c>
      <c r="D1007" s="15" t="s">
        <v>93</v>
      </c>
      <c r="E1007" s="15">
        <v>1.0</v>
      </c>
      <c r="AU1007" s="43"/>
      <c r="AX1007" s="15" t="s">
        <v>86</v>
      </c>
    </row>
    <row r="1008">
      <c r="A1008" s="40">
        <v>46170.0</v>
      </c>
      <c r="B1008" s="4" t="s">
        <v>170</v>
      </c>
      <c r="C1008" s="4" t="s">
        <v>194</v>
      </c>
      <c r="D1008" s="15" t="s">
        <v>93</v>
      </c>
      <c r="E1008" s="15">
        <v>0.5</v>
      </c>
      <c r="AU1008" s="43"/>
      <c r="AX1008" s="15" t="s">
        <v>86</v>
      </c>
    </row>
    <row r="1009">
      <c r="A1009" s="40">
        <v>46170.0</v>
      </c>
      <c r="B1009" s="4" t="s">
        <v>192</v>
      </c>
      <c r="C1009" s="4" t="s">
        <v>259</v>
      </c>
      <c r="D1009" s="15" t="s">
        <v>93</v>
      </c>
      <c r="E1009" s="15">
        <v>1.0</v>
      </c>
      <c r="AU1009" s="43"/>
      <c r="AX1009" s="15" t="s">
        <v>86</v>
      </c>
    </row>
    <row r="1010">
      <c r="A1010" s="40">
        <v>46170.0</v>
      </c>
      <c r="B1010" s="4" t="s">
        <v>189</v>
      </c>
      <c r="C1010" s="4" t="s">
        <v>259</v>
      </c>
      <c r="D1010" s="15" t="s">
        <v>93</v>
      </c>
      <c r="E1010" s="15">
        <v>1.0</v>
      </c>
      <c r="AU1010" s="43"/>
      <c r="AX1010" s="15" t="s">
        <v>86</v>
      </c>
    </row>
    <row r="1011">
      <c r="A1011" s="40">
        <v>46170.0</v>
      </c>
      <c r="B1011" s="4" t="s">
        <v>248</v>
      </c>
      <c r="C1011" s="4" t="s">
        <v>259</v>
      </c>
      <c r="D1011" s="15" t="s">
        <v>53</v>
      </c>
      <c r="E1011" s="15">
        <v>1.0</v>
      </c>
      <c r="AU1011" s="43"/>
      <c r="AX1011" s="15" t="s">
        <v>86</v>
      </c>
    </row>
    <row r="1012">
      <c r="A1012" s="40">
        <v>46171.0</v>
      </c>
      <c r="B1012" s="4" t="s">
        <v>192</v>
      </c>
      <c r="C1012" s="4" t="s">
        <v>194</v>
      </c>
      <c r="D1012" s="15" t="s">
        <v>93</v>
      </c>
      <c r="E1012" s="15">
        <v>0.5</v>
      </c>
      <c r="AU1012" s="43"/>
      <c r="AX1012" s="15" t="s">
        <v>86</v>
      </c>
    </row>
    <row r="1013">
      <c r="A1013" s="40">
        <v>46171.0</v>
      </c>
      <c r="B1013" s="4" t="s">
        <v>189</v>
      </c>
      <c r="C1013" s="4" t="s">
        <v>194</v>
      </c>
      <c r="D1013" s="15" t="s">
        <v>93</v>
      </c>
      <c r="E1013" s="15">
        <v>0.5</v>
      </c>
      <c r="AU1013" s="43"/>
      <c r="AX1013" s="15" t="s">
        <v>86</v>
      </c>
    </row>
    <row r="1014">
      <c r="A1014" s="40">
        <v>46171.0</v>
      </c>
      <c r="B1014" s="4" t="s">
        <v>173</v>
      </c>
      <c r="C1014" s="4" t="s">
        <v>194</v>
      </c>
      <c r="D1014" s="15" t="s">
        <v>93</v>
      </c>
      <c r="E1014" s="15">
        <v>0.5</v>
      </c>
      <c r="AU1014" s="43"/>
      <c r="AX1014" s="15" t="s">
        <v>86</v>
      </c>
    </row>
    <row r="1015">
      <c r="A1015" s="40">
        <v>46171.0</v>
      </c>
      <c r="B1015" s="4" t="s">
        <v>115</v>
      </c>
      <c r="C1015" s="4" t="s">
        <v>194</v>
      </c>
      <c r="D1015" s="15" t="s">
        <v>38</v>
      </c>
      <c r="E1015" s="15">
        <v>0.5</v>
      </c>
      <c r="AU1015" s="43"/>
      <c r="AX1015" s="15" t="s">
        <v>86</v>
      </c>
    </row>
    <row r="1016">
      <c r="A1016" s="40">
        <v>46171.0</v>
      </c>
      <c r="B1016" s="4" t="s">
        <v>170</v>
      </c>
      <c r="C1016" s="4" t="s">
        <v>420</v>
      </c>
      <c r="D1016" s="15" t="s">
        <v>93</v>
      </c>
      <c r="E1016" s="15">
        <v>0.25</v>
      </c>
      <c r="AU1016" s="43"/>
      <c r="AX1016" s="15" t="s">
        <v>86</v>
      </c>
    </row>
    <row r="1017">
      <c r="A1017" s="40">
        <v>46171.0</v>
      </c>
      <c r="B1017" s="4" t="s">
        <v>63</v>
      </c>
      <c r="C1017" s="4" t="s">
        <v>420</v>
      </c>
      <c r="D1017" s="15" t="s">
        <v>38</v>
      </c>
      <c r="E1017" s="15">
        <v>0.25</v>
      </c>
      <c r="AU1017" s="43"/>
      <c r="AX1017" s="15" t="s">
        <v>86</v>
      </c>
    </row>
    <row r="1018">
      <c r="A1018" s="40">
        <v>46171.0</v>
      </c>
      <c r="B1018" s="4" t="s">
        <v>248</v>
      </c>
      <c r="C1018" s="4" t="s">
        <v>194</v>
      </c>
      <c r="D1018" s="15" t="s">
        <v>53</v>
      </c>
      <c r="E1018" s="15">
        <v>0.5</v>
      </c>
      <c r="AU1018" s="43"/>
      <c r="AX1018" s="15" t="s">
        <v>86</v>
      </c>
    </row>
    <row r="1019">
      <c r="A1019" s="40">
        <v>46171.0</v>
      </c>
      <c r="B1019" s="4" t="s">
        <v>173</v>
      </c>
      <c r="C1019" s="4" t="s">
        <v>194</v>
      </c>
      <c r="D1019" s="15" t="s">
        <v>93</v>
      </c>
      <c r="E1019" s="15">
        <v>0.5</v>
      </c>
      <c r="AU1019" s="43"/>
      <c r="AX1019" s="15" t="s">
        <v>86</v>
      </c>
    </row>
    <row r="1020">
      <c r="A1020" s="40">
        <v>46171.0</v>
      </c>
      <c r="B1020" s="4" t="s">
        <v>48</v>
      </c>
      <c r="C1020" s="4" t="s">
        <v>194</v>
      </c>
      <c r="D1020" s="15" t="s">
        <v>38</v>
      </c>
      <c r="E1020" s="15">
        <v>0.5</v>
      </c>
      <c r="AU1020" s="43"/>
      <c r="AX1020" s="15" t="s">
        <v>86</v>
      </c>
    </row>
    <row r="1021">
      <c r="A1021" s="40">
        <v>46171.0</v>
      </c>
      <c r="B1021" s="4" t="s">
        <v>248</v>
      </c>
      <c r="C1021" s="4" t="s">
        <v>259</v>
      </c>
      <c r="D1021" s="15" t="s">
        <v>53</v>
      </c>
      <c r="E1021" s="15">
        <v>1.0</v>
      </c>
      <c r="AU1021" s="43"/>
      <c r="AX1021" s="15" t="s">
        <v>86</v>
      </c>
    </row>
    <row r="1022">
      <c r="A1022" s="40">
        <v>46171.0</v>
      </c>
      <c r="B1022" s="4" t="s">
        <v>199</v>
      </c>
      <c r="C1022" s="4" t="s">
        <v>291</v>
      </c>
      <c r="D1022" s="15" t="s">
        <v>93</v>
      </c>
      <c r="E1022" s="15">
        <v>1.5</v>
      </c>
      <c r="AU1022" s="43"/>
      <c r="AX1022" s="15" t="s">
        <v>86</v>
      </c>
    </row>
    <row r="1023">
      <c r="A1023" s="40">
        <v>46171.0</v>
      </c>
      <c r="B1023" s="4" t="s">
        <v>1505</v>
      </c>
      <c r="C1023" s="4" t="s">
        <v>194</v>
      </c>
      <c r="D1023" s="15" t="s">
        <v>38</v>
      </c>
      <c r="E1023" s="15">
        <v>0.5</v>
      </c>
      <c r="AU1023" s="43"/>
      <c r="AX1023" s="15" t="s">
        <v>86</v>
      </c>
    </row>
    <row r="1024">
      <c r="A1024" s="40">
        <v>46174.0</v>
      </c>
      <c r="B1024" s="4" t="s">
        <v>230</v>
      </c>
      <c r="C1024" s="4" t="s">
        <v>194</v>
      </c>
      <c r="D1024" s="15" t="s">
        <v>53</v>
      </c>
      <c r="E1024" s="15">
        <v>0.5</v>
      </c>
      <c r="AU1024" s="43"/>
      <c r="AX1024" s="15" t="s">
        <v>86</v>
      </c>
    </row>
    <row r="1025">
      <c r="A1025" s="40">
        <v>46174.0</v>
      </c>
      <c r="B1025" s="4" t="s">
        <v>248</v>
      </c>
      <c r="C1025" s="4" t="s">
        <v>259</v>
      </c>
      <c r="D1025" s="15" t="s">
        <v>53</v>
      </c>
      <c r="E1025" s="15">
        <v>1.0</v>
      </c>
      <c r="AU1025" s="43"/>
      <c r="AX1025" s="15" t="s">
        <v>86</v>
      </c>
    </row>
    <row r="1026">
      <c r="A1026" s="40">
        <v>46174.0</v>
      </c>
      <c r="B1026" s="4" t="s">
        <v>170</v>
      </c>
      <c r="C1026" s="4" t="s">
        <v>420</v>
      </c>
      <c r="D1026" s="15" t="s">
        <v>93</v>
      </c>
      <c r="E1026" s="15">
        <v>0.25</v>
      </c>
      <c r="AU1026" s="43"/>
      <c r="AX1026" s="15" t="s">
        <v>86</v>
      </c>
    </row>
    <row r="1027">
      <c r="A1027" s="40">
        <v>46174.0</v>
      </c>
      <c r="B1027" s="4" t="s">
        <v>199</v>
      </c>
      <c r="C1027" s="4" t="s">
        <v>286</v>
      </c>
      <c r="D1027" s="15" t="s">
        <v>93</v>
      </c>
      <c r="E1027" s="15">
        <v>0.75</v>
      </c>
      <c r="AU1027" s="43"/>
      <c r="AX1027" s="15" t="s">
        <v>86</v>
      </c>
    </row>
    <row r="1028">
      <c r="A1028" s="40">
        <v>46174.0</v>
      </c>
      <c r="B1028" s="4" t="s">
        <v>196</v>
      </c>
      <c r="C1028" s="4" t="s">
        <v>194</v>
      </c>
      <c r="D1028" s="15" t="s">
        <v>93</v>
      </c>
      <c r="E1028" s="15">
        <v>0.5</v>
      </c>
      <c r="AU1028" s="43"/>
      <c r="AX1028" s="15" t="s">
        <v>86</v>
      </c>
    </row>
    <row r="1029">
      <c r="A1029" s="40">
        <v>46174.0</v>
      </c>
      <c r="B1029" s="4" t="s">
        <v>63</v>
      </c>
      <c r="C1029" s="4" t="s">
        <v>259</v>
      </c>
      <c r="D1029" s="15" t="s">
        <v>38</v>
      </c>
      <c r="E1029" s="15">
        <v>1.0</v>
      </c>
      <c r="AU1029" s="43"/>
      <c r="AX1029" s="15" t="s">
        <v>86</v>
      </c>
    </row>
    <row r="1030">
      <c r="A1030" s="40">
        <v>46174.0</v>
      </c>
      <c r="B1030" s="4" t="s">
        <v>63</v>
      </c>
      <c r="C1030" s="4" t="s">
        <v>259</v>
      </c>
      <c r="D1030" s="15" t="s">
        <v>38</v>
      </c>
      <c r="E1030" s="15">
        <v>1.0</v>
      </c>
      <c r="AU1030" s="43"/>
      <c r="AX1030" s="15" t="s">
        <v>86</v>
      </c>
    </row>
    <row r="1031">
      <c r="A1031" s="40">
        <v>46174.0</v>
      </c>
      <c r="B1031" s="4" t="s">
        <v>230</v>
      </c>
      <c r="C1031" s="4" t="s">
        <v>406</v>
      </c>
      <c r="D1031" s="15" t="s">
        <v>53</v>
      </c>
      <c r="E1031" s="15">
        <v>0.4166666666666667</v>
      </c>
      <c r="AU1031" s="43"/>
      <c r="AX1031" s="15" t="s">
        <v>86</v>
      </c>
    </row>
    <row r="1032">
      <c r="A1032" s="40">
        <v>46174.0</v>
      </c>
      <c r="B1032" s="4" t="s">
        <v>196</v>
      </c>
      <c r="C1032" s="4" t="s">
        <v>259</v>
      </c>
      <c r="D1032" s="15" t="s">
        <v>93</v>
      </c>
      <c r="E1032" s="15">
        <v>1.0</v>
      </c>
      <c r="AU1032" s="43"/>
      <c r="AX1032" s="15" t="s">
        <v>86</v>
      </c>
    </row>
    <row r="1033">
      <c r="A1033" s="40">
        <v>46174.0</v>
      </c>
      <c r="B1033" s="4" t="s">
        <v>248</v>
      </c>
      <c r="C1033" s="4" t="s">
        <v>259</v>
      </c>
      <c r="D1033" s="15" t="s">
        <v>53</v>
      </c>
      <c r="E1033" s="15">
        <v>1.0</v>
      </c>
      <c r="AU1033" s="43"/>
      <c r="AX1033" s="15" t="s">
        <v>86</v>
      </c>
    </row>
    <row r="1034">
      <c r="A1034" s="40">
        <v>46175.0</v>
      </c>
      <c r="B1034" s="4" t="s">
        <v>170</v>
      </c>
      <c r="C1034" s="4" t="s">
        <v>194</v>
      </c>
      <c r="D1034" s="15" t="s">
        <v>93</v>
      </c>
      <c r="E1034" s="15">
        <v>0.5</v>
      </c>
      <c r="AU1034" s="43"/>
      <c r="AX1034" s="15" t="s">
        <v>86</v>
      </c>
    </row>
    <row r="1035">
      <c r="A1035" s="40">
        <v>46175.0</v>
      </c>
      <c r="B1035" s="4" t="s">
        <v>170</v>
      </c>
      <c r="C1035" s="4" t="s">
        <v>420</v>
      </c>
      <c r="D1035" s="15" t="s">
        <v>93</v>
      </c>
      <c r="E1035" s="15">
        <v>0.25</v>
      </c>
      <c r="AU1035" s="43"/>
      <c r="AX1035" s="15" t="s">
        <v>86</v>
      </c>
    </row>
    <row r="1036">
      <c r="A1036" s="40">
        <v>46175.0</v>
      </c>
      <c r="B1036" s="4" t="s">
        <v>48</v>
      </c>
      <c r="C1036" s="4" t="s">
        <v>194</v>
      </c>
      <c r="D1036" s="15" t="s">
        <v>38</v>
      </c>
      <c r="E1036" s="15">
        <v>0.5</v>
      </c>
      <c r="AU1036" s="43"/>
      <c r="AX1036" s="15" t="s">
        <v>86</v>
      </c>
    </row>
    <row r="1037">
      <c r="A1037" s="40">
        <v>46175.0</v>
      </c>
      <c r="B1037" s="4" t="s">
        <v>58</v>
      </c>
      <c r="C1037" s="4" t="s">
        <v>194</v>
      </c>
      <c r="D1037" s="15" t="s">
        <v>38</v>
      </c>
      <c r="E1037" s="15">
        <v>0.5</v>
      </c>
      <c r="AU1037" s="43"/>
      <c r="AX1037" s="15" t="s">
        <v>86</v>
      </c>
    </row>
    <row r="1038">
      <c r="A1038" s="40">
        <v>46175.0</v>
      </c>
      <c r="B1038" s="4" t="s">
        <v>233</v>
      </c>
      <c r="C1038" s="4" t="s">
        <v>259</v>
      </c>
      <c r="D1038" s="15" t="s">
        <v>53</v>
      </c>
      <c r="E1038" s="15">
        <v>1.0</v>
      </c>
      <c r="AU1038" s="43"/>
      <c r="AX1038" s="15" t="s">
        <v>86</v>
      </c>
    </row>
    <row r="1039">
      <c r="A1039" s="40">
        <v>46175.0</v>
      </c>
      <c r="B1039" s="4" t="s">
        <v>63</v>
      </c>
      <c r="C1039" s="4" t="s">
        <v>558</v>
      </c>
      <c r="D1039" s="15" t="s">
        <v>38</v>
      </c>
      <c r="E1039" s="15">
        <v>2.0</v>
      </c>
      <c r="AU1039" s="43"/>
      <c r="AX1039" s="15" t="s">
        <v>86</v>
      </c>
    </row>
    <row r="1040">
      <c r="A1040" s="40">
        <v>46175.0</v>
      </c>
      <c r="B1040" s="4" t="s">
        <v>115</v>
      </c>
      <c r="C1040" s="4" t="s">
        <v>259</v>
      </c>
      <c r="D1040" s="15" t="s">
        <v>38</v>
      </c>
      <c r="E1040" s="15">
        <v>1.0</v>
      </c>
      <c r="AU1040" s="43"/>
      <c r="AX1040" s="15" t="s">
        <v>86</v>
      </c>
    </row>
    <row r="1041">
      <c r="A1041" s="40">
        <v>46175.0</v>
      </c>
      <c r="B1041" s="4" t="s">
        <v>115</v>
      </c>
      <c r="C1041" s="4" t="s">
        <v>259</v>
      </c>
      <c r="D1041" s="15" t="s">
        <v>38</v>
      </c>
      <c r="E1041" s="15">
        <v>1.0</v>
      </c>
      <c r="AU1041" s="43"/>
      <c r="AX1041" s="15" t="s">
        <v>86</v>
      </c>
    </row>
    <row r="1042">
      <c r="A1042" s="40">
        <v>46175.0</v>
      </c>
      <c r="B1042" s="4" t="s">
        <v>196</v>
      </c>
      <c r="C1042" s="4" t="s">
        <v>259</v>
      </c>
      <c r="D1042" s="15" t="s">
        <v>93</v>
      </c>
      <c r="E1042" s="15">
        <v>1.0</v>
      </c>
      <c r="AU1042" s="43"/>
      <c r="AX1042" s="15" t="s">
        <v>86</v>
      </c>
    </row>
    <row r="1043">
      <c r="A1043" s="40">
        <v>46176.0</v>
      </c>
      <c r="B1043" s="4" t="s">
        <v>189</v>
      </c>
      <c r="C1043" s="4" t="s">
        <v>194</v>
      </c>
      <c r="D1043" s="15" t="s">
        <v>93</v>
      </c>
      <c r="E1043" s="15">
        <v>0.5</v>
      </c>
      <c r="AU1043" s="43"/>
      <c r="AX1043" s="15" t="s">
        <v>86</v>
      </c>
    </row>
    <row r="1044">
      <c r="A1044" s="40">
        <v>46176.0</v>
      </c>
      <c r="B1044" s="4" t="s">
        <v>170</v>
      </c>
      <c r="C1044" s="4" t="s">
        <v>194</v>
      </c>
      <c r="D1044" s="15" t="s">
        <v>93</v>
      </c>
      <c r="E1044" s="15">
        <v>0.5</v>
      </c>
      <c r="AU1044" s="43"/>
      <c r="AX1044" s="15" t="s">
        <v>86</v>
      </c>
    </row>
    <row r="1045">
      <c r="A1045" s="40">
        <v>46176.0</v>
      </c>
      <c r="B1045" s="4" t="s">
        <v>199</v>
      </c>
      <c r="C1045" s="4" t="s">
        <v>259</v>
      </c>
      <c r="D1045" s="15" t="s">
        <v>93</v>
      </c>
      <c r="E1045" s="15">
        <v>1.0</v>
      </c>
      <c r="AU1045" s="43"/>
      <c r="AX1045" s="15" t="s">
        <v>86</v>
      </c>
    </row>
    <row r="1046">
      <c r="A1046" s="40">
        <v>46176.0</v>
      </c>
      <c r="B1046" s="4" t="s">
        <v>1392</v>
      </c>
      <c r="C1046" s="4" t="s">
        <v>194</v>
      </c>
      <c r="D1046" s="15" t="s">
        <v>38</v>
      </c>
      <c r="E1046" s="15">
        <v>0.5</v>
      </c>
      <c r="AU1046" s="43"/>
      <c r="AX1046" s="15" t="s">
        <v>86</v>
      </c>
    </row>
    <row r="1047">
      <c r="A1047" s="40">
        <v>46176.0</v>
      </c>
      <c r="B1047" s="4" t="s">
        <v>58</v>
      </c>
      <c r="C1047" s="4" t="s">
        <v>194</v>
      </c>
      <c r="D1047" s="15" t="s">
        <v>38</v>
      </c>
      <c r="E1047" s="15">
        <v>0.5</v>
      </c>
      <c r="AU1047" s="43"/>
      <c r="AX1047" s="15" t="s">
        <v>86</v>
      </c>
    </row>
    <row r="1048">
      <c r="A1048" s="40">
        <v>46176.0</v>
      </c>
      <c r="B1048" s="4" t="s">
        <v>689</v>
      </c>
      <c r="C1048" s="4" t="s">
        <v>259</v>
      </c>
      <c r="D1048" s="15" t="s">
        <v>93</v>
      </c>
      <c r="E1048" s="15">
        <v>1.0</v>
      </c>
      <c r="AU1048" s="43"/>
      <c r="AX1048" s="15" t="s">
        <v>86</v>
      </c>
    </row>
    <row r="1049">
      <c r="A1049" s="40">
        <v>46176.0</v>
      </c>
      <c r="B1049" s="4" t="s">
        <v>248</v>
      </c>
      <c r="C1049" s="4" t="s">
        <v>259</v>
      </c>
      <c r="D1049" s="15" t="s">
        <v>53</v>
      </c>
      <c r="E1049" s="15">
        <v>1.0</v>
      </c>
      <c r="AU1049" s="43"/>
      <c r="AX1049" s="15" t="s">
        <v>86</v>
      </c>
    </row>
    <row r="1050">
      <c r="A1050" s="40">
        <v>46176.0</v>
      </c>
      <c r="B1050" s="4" t="s">
        <v>1505</v>
      </c>
      <c r="C1050" s="4" t="s">
        <v>259</v>
      </c>
      <c r="D1050" s="15" t="s">
        <v>38</v>
      </c>
      <c r="E1050" s="15">
        <v>1.0</v>
      </c>
      <c r="AU1050" s="43"/>
      <c r="AX1050" s="15" t="s">
        <v>86</v>
      </c>
    </row>
    <row r="1051">
      <c r="A1051" s="40">
        <v>46176.0</v>
      </c>
      <c r="B1051" s="4" t="s">
        <v>252</v>
      </c>
      <c r="C1051" s="4" t="s">
        <v>194</v>
      </c>
      <c r="D1051" s="15" t="s">
        <v>53</v>
      </c>
      <c r="E1051" s="15">
        <v>0.5</v>
      </c>
      <c r="AU1051" s="43"/>
      <c r="AX1051" s="15" t="s">
        <v>86</v>
      </c>
    </row>
    <row r="1052">
      <c r="A1052" s="40">
        <v>46177.0</v>
      </c>
      <c r="B1052" s="4" t="s">
        <v>170</v>
      </c>
      <c r="C1052" s="4" t="s">
        <v>194</v>
      </c>
      <c r="D1052" s="15" t="s">
        <v>93</v>
      </c>
      <c r="E1052" s="15">
        <v>0.5</v>
      </c>
      <c r="AU1052" s="43"/>
      <c r="AX1052" s="15" t="s">
        <v>86</v>
      </c>
    </row>
    <row r="1053">
      <c r="A1053" s="40">
        <v>46177.0</v>
      </c>
      <c r="B1053" s="4" t="s">
        <v>170</v>
      </c>
      <c r="C1053" s="4" t="s">
        <v>420</v>
      </c>
      <c r="D1053" s="15" t="s">
        <v>93</v>
      </c>
      <c r="E1053" s="15">
        <v>0.25</v>
      </c>
      <c r="AU1053" s="43"/>
      <c r="AX1053" s="15" t="s">
        <v>86</v>
      </c>
    </row>
    <row r="1054">
      <c r="A1054" s="40">
        <v>46177.0</v>
      </c>
      <c r="B1054" s="4" t="s">
        <v>58</v>
      </c>
      <c r="C1054" s="4" t="s">
        <v>194</v>
      </c>
      <c r="D1054" s="15" t="s">
        <v>38</v>
      </c>
      <c r="E1054" s="15">
        <v>0.5</v>
      </c>
      <c r="AU1054" s="43"/>
      <c r="AX1054" s="15" t="s">
        <v>86</v>
      </c>
    </row>
    <row r="1055">
      <c r="A1055" s="40">
        <v>46177.0</v>
      </c>
      <c r="B1055" s="4" t="s">
        <v>170</v>
      </c>
      <c r="C1055" s="4" t="s">
        <v>194</v>
      </c>
      <c r="D1055" s="15" t="s">
        <v>93</v>
      </c>
      <c r="E1055" s="15">
        <v>0.5</v>
      </c>
      <c r="AU1055" s="43"/>
      <c r="AX1055" s="15" t="s">
        <v>86</v>
      </c>
    </row>
    <row r="1056">
      <c r="A1056" s="40">
        <v>46177.0</v>
      </c>
      <c r="B1056" s="4" t="s">
        <v>196</v>
      </c>
      <c r="C1056" s="4" t="s">
        <v>259</v>
      </c>
      <c r="D1056" s="15" t="s">
        <v>93</v>
      </c>
      <c r="E1056" s="15">
        <v>1.0</v>
      </c>
      <c r="AU1056" s="43"/>
      <c r="AX1056" s="15" t="s">
        <v>86</v>
      </c>
    </row>
    <row r="1057">
      <c r="A1057" s="40">
        <v>46177.0</v>
      </c>
      <c r="B1057" s="4" t="s">
        <v>196</v>
      </c>
      <c r="C1057" s="4" t="s">
        <v>194</v>
      </c>
      <c r="D1057" s="15" t="s">
        <v>93</v>
      </c>
      <c r="E1057" s="15">
        <v>0.5</v>
      </c>
      <c r="AU1057" s="43"/>
      <c r="AX1057" s="15" t="s">
        <v>86</v>
      </c>
    </row>
    <row r="1058">
      <c r="A1058" s="40">
        <v>46177.0</v>
      </c>
      <c r="B1058" s="4" t="s">
        <v>196</v>
      </c>
      <c r="C1058" s="4" t="s">
        <v>194</v>
      </c>
      <c r="D1058" s="15" t="s">
        <v>93</v>
      </c>
      <c r="E1058" s="15">
        <v>0.5</v>
      </c>
      <c r="AU1058" s="43"/>
      <c r="AX1058" s="15" t="s">
        <v>86</v>
      </c>
    </row>
    <row r="1059">
      <c r="A1059" s="40">
        <v>46177.0</v>
      </c>
      <c r="B1059" s="4" t="s">
        <v>252</v>
      </c>
      <c r="C1059" s="4" t="s">
        <v>291</v>
      </c>
      <c r="D1059" s="15" t="s">
        <v>53</v>
      </c>
      <c r="E1059" s="15">
        <v>1.5</v>
      </c>
      <c r="AU1059" s="43"/>
      <c r="AX1059" s="15" t="s">
        <v>86</v>
      </c>
    </row>
    <row r="1060">
      <c r="A1060" s="40">
        <v>46177.0</v>
      </c>
      <c r="B1060" s="4" t="s">
        <v>63</v>
      </c>
      <c r="C1060" s="4" t="s">
        <v>259</v>
      </c>
      <c r="D1060" s="15" t="s">
        <v>38</v>
      </c>
      <c r="E1060" s="15">
        <v>1.0</v>
      </c>
      <c r="AU1060" s="43"/>
      <c r="AX1060" s="15" t="s">
        <v>86</v>
      </c>
    </row>
    <row r="1061">
      <c r="A1061" s="40">
        <v>46177.0</v>
      </c>
      <c r="B1061" s="4" t="s">
        <v>252</v>
      </c>
      <c r="C1061" s="4" t="s">
        <v>259</v>
      </c>
      <c r="D1061" s="15" t="s">
        <v>53</v>
      </c>
      <c r="E1061" s="15">
        <v>1.0</v>
      </c>
      <c r="AU1061" s="43"/>
      <c r="AX1061" s="15" t="s">
        <v>86</v>
      </c>
    </row>
    <row r="1062">
      <c r="A1062" s="40">
        <v>46178.0</v>
      </c>
      <c r="B1062" s="4" t="s">
        <v>248</v>
      </c>
      <c r="C1062" s="4" t="s">
        <v>194</v>
      </c>
      <c r="D1062" s="15" t="s">
        <v>53</v>
      </c>
      <c r="E1062" s="15">
        <v>0.5</v>
      </c>
      <c r="AU1062" s="43"/>
      <c r="AX1062" s="15" t="s">
        <v>86</v>
      </c>
    </row>
    <row r="1063">
      <c r="A1063" s="40">
        <v>46178.0</v>
      </c>
      <c r="B1063" s="4" t="s">
        <v>1392</v>
      </c>
      <c r="C1063" s="4" t="s">
        <v>259</v>
      </c>
      <c r="D1063" s="15" t="s">
        <v>38</v>
      </c>
      <c r="E1063" s="15">
        <v>1.0</v>
      </c>
      <c r="AU1063" s="43"/>
      <c r="AX1063" s="15" t="s">
        <v>86</v>
      </c>
    </row>
    <row r="1064">
      <c r="A1064" s="40">
        <v>46178.0</v>
      </c>
      <c r="B1064" s="4" t="s">
        <v>196</v>
      </c>
      <c r="C1064" s="4" t="s">
        <v>259</v>
      </c>
      <c r="D1064" s="15" t="s">
        <v>93</v>
      </c>
      <c r="E1064" s="15">
        <v>1.0</v>
      </c>
      <c r="AU1064" s="43"/>
      <c r="AX1064" s="15" t="s">
        <v>86</v>
      </c>
    </row>
    <row r="1065">
      <c r="A1065" s="40">
        <v>46178.0</v>
      </c>
      <c r="B1065" s="4" t="s">
        <v>248</v>
      </c>
      <c r="C1065" s="4" t="s">
        <v>194</v>
      </c>
      <c r="D1065" s="15" t="s">
        <v>53</v>
      </c>
      <c r="E1065" s="15">
        <v>0.5</v>
      </c>
      <c r="AU1065" s="43"/>
      <c r="AX1065" s="15" t="s">
        <v>86</v>
      </c>
    </row>
    <row r="1066">
      <c r="A1066" s="40">
        <v>46178.0</v>
      </c>
      <c r="B1066" s="4" t="s">
        <v>252</v>
      </c>
      <c r="C1066" s="4" t="s">
        <v>259</v>
      </c>
      <c r="D1066" s="15" t="s">
        <v>53</v>
      </c>
      <c r="E1066" s="15">
        <v>1.0</v>
      </c>
      <c r="AU1066" s="43"/>
      <c r="AX1066" s="15" t="s">
        <v>86</v>
      </c>
    </row>
    <row r="1067">
      <c r="A1067" s="40">
        <v>46178.0</v>
      </c>
      <c r="B1067" s="4" t="s">
        <v>196</v>
      </c>
      <c r="C1067" s="4" t="s">
        <v>259</v>
      </c>
      <c r="D1067" s="15" t="s">
        <v>93</v>
      </c>
      <c r="E1067" s="15">
        <v>1.0</v>
      </c>
      <c r="AU1067" s="43"/>
      <c r="AX1067" s="15" t="s">
        <v>86</v>
      </c>
    </row>
    <row r="1068">
      <c r="A1068" s="40">
        <v>46178.0</v>
      </c>
      <c r="B1068" s="4" t="s">
        <v>63</v>
      </c>
      <c r="C1068" s="4" t="s">
        <v>194</v>
      </c>
      <c r="D1068" s="15" t="s">
        <v>38</v>
      </c>
      <c r="E1068" s="15">
        <v>0.5</v>
      </c>
      <c r="AU1068" s="43"/>
      <c r="AX1068" s="15" t="s">
        <v>86</v>
      </c>
    </row>
    <row r="1069">
      <c r="A1069" s="40">
        <v>46178.0</v>
      </c>
      <c r="B1069" s="4" t="s">
        <v>196</v>
      </c>
      <c r="C1069" s="4" t="s">
        <v>259</v>
      </c>
      <c r="D1069" s="15" t="s">
        <v>93</v>
      </c>
      <c r="E1069" s="15">
        <v>1.0</v>
      </c>
      <c r="AU1069" s="43"/>
      <c r="AX1069" s="15" t="s">
        <v>86</v>
      </c>
    </row>
    <row r="1070">
      <c r="A1070" s="40">
        <v>46178.0</v>
      </c>
      <c r="B1070" s="4" t="s">
        <v>196</v>
      </c>
      <c r="C1070" s="4" t="s">
        <v>259</v>
      </c>
      <c r="D1070" s="15" t="s">
        <v>93</v>
      </c>
      <c r="E1070" s="15">
        <v>1.0</v>
      </c>
      <c r="AU1070" s="43"/>
      <c r="AX1070" s="15" t="s">
        <v>86</v>
      </c>
    </row>
    <row r="1071">
      <c r="A1071" s="40">
        <v>46182.0</v>
      </c>
      <c r="B1071" s="4" t="s">
        <v>63</v>
      </c>
      <c r="C1071" s="4" t="s">
        <v>259</v>
      </c>
      <c r="D1071" s="15" t="s">
        <v>38</v>
      </c>
      <c r="E1071" s="15">
        <v>1.0</v>
      </c>
      <c r="AU1071" s="43"/>
      <c r="AX1071" s="15" t="s">
        <v>86</v>
      </c>
    </row>
    <row r="1072">
      <c r="A1072" s="40">
        <v>46182.0</v>
      </c>
      <c r="B1072" s="4" t="s">
        <v>196</v>
      </c>
      <c r="C1072" s="4" t="s">
        <v>194</v>
      </c>
      <c r="D1072" s="15" t="s">
        <v>93</v>
      </c>
      <c r="E1072" s="15">
        <v>0.5</v>
      </c>
      <c r="AU1072" s="43"/>
      <c r="AX1072" s="15" t="s">
        <v>86</v>
      </c>
    </row>
    <row r="1073">
      <c r="A1073" s="40">
        <v>46182.0</v>
      </c>
      <c r="B1073" s="4" t="s">
        <v>170</v>
      </c>
      <c r="C1073" s="4" t="s">
        <v>420</v>
      </c>
      <c r="D1073" s="15" t="s">
        <v>93</v>
      </c>
      <c r="E1073" s="15">
        <v>0.25</v>
      </c>
      <c r="AU1073" s="43"/>
      <c r="AX1073" s="15" t="s">
        <v>86</v>
      </c>
    </row>
    <row r="1074">
      <c r="A1074" s="40">
        <v>46182.0</v>
      </c>
      <c r="B1074" s="4" t="s">
        <v>48</v>
      </c>
      <c r="C1074" s="4" t="s">
        <v>194</v>
      </c>
      <c r="D1074" s="15" t="s">
        <v>38</v>
      </c>
      <c r="E1074" s="15">
        <v>0.5</v>
      </c>
      <c r="AU1074" s="43"/>
      <c r="AX1074" s="15" t="s">
        <v>86</v>
      </c>
    </row>
    <row r="1075">
      <c r="A1075" s="40">
        <v>46182.0</v>
      </c>
      <c r="B1075" s="4" t="s">
        <v>115</v>
      </c>
      <c r="C1075" s="4" t="s">
        <v>259</v>
      </c>
      <c r="D1075" s="15" t="s">
        <v>38</v>
      </c>
      <c r="E1075" s="15">
        <v>1.0</v>
      </c>
      <c r="AU1075" s="43"/>
      <c r="AX1075" s="15" t="s">
        <v>86</v>
      </c>
    </row>
    <row r="1076">
      <c r="A1076" s="40">
        <v>46182.0</v>
      </c>
      <c r="B1076" s="4" t="s">
        <v>48</v>
      </c>
      <c r="C1076" s="4" t="s">
        <v>194</v>
      </c>
      <c r="D1076" s="15" t="s">
        <v>38</v>
      </c>
      <c r="E1076" s="15">
        <v>0.5</v>
      </c>
      <c r="AU1076" s="43"/>
      <c r="AX1076" s="15" t="s">
        <v>86</v>
      </c>
    </row>
    <row r="1077">
      <c r="A1077" s="40">
        <v>46182.0</v>
      </c>
      <c r="B1077" s="4" t="s">
        <v>248</v>
      </c>
      <c r="C1077" s="4" t="s">
        <v>259</v>
      </c>
      <c r="D1077" s="15" t="s">
        <v>53</v>
      </c>
      <c r="E1077" s="15">
        <v>1.0</v>
      </c>
      <c r="AU1077" s="43"/>
      <c r="AX1077" s="15" t="s">
        <v>86</v>
      </c>
    </row>
    <row r="1078">
      <c r="A1078" s="40">
        <v>46182.0</v>
      </c>
      <c r="B1078" s="4" t="s">
        <v>63</v>
      </c>
      <c r="C1078" s="4" t="s">
        <v>796</v>
      </c>
      <c r="D1078" s="15" t="s">
        <v>38</v>
      </c>
      <c r="E1078" s="15">
        <v>2.5</v>
      </c>
      <c r="AU1078" s="43"/>
      <c r="AX1078" s="15" t="s">
        <v>86</v>
      </c>
    </row>
    <row r="1079">
      <c r="A1079" s="40">
        <v>46183.0</v>
      </c>
      <c r="B1079" s="4" t="s">
        <v>115</v>
      </c>
      <c r="C1079" s="4" t="s">
        <v>194</v>
      </c>
      <c r="D1079" s="15" t="s">
        <v>38</v>
      </c>
      <c r="E1079" s="15">
        <v>0.5</v>
      </c>
      <c r="AU1079" s="43"/>
      <c r="AX1079" s="15" t="s">
        <v>86</v>
      </c>
    </row>
    <row r="1080">
      <c r="A1080" s="40">
        <v>46183.0</v>
      </c>
      <c r="B1080" s="4" t="s">
        <v>189</v>
      </c>
      <c r="C1080" s="4" t="s">
        <v>194</v>
      </c>
      <c r="D1080" s="15" t="s">
        <v>93</v>
      </c>
      <c r="E1080" s="15">
        <v>0.5</v>
      </c>
      <c r="AU1080" s="43"/>
      <c r="AX1080" s="15" t="s">
        <v>86</v>
      </c>
    </row>
    <row r="1081">
      <c r="A1081" s="40">
        <v>46183.0</v>
      </c>
      <c r="B1081" s="4" t="s">
        <v>173</v>
      </c>
      <c r="C1081" s="4" t="s">
        <v>194</v>
      </c>
      <c r="D1081" s="15" t="s">
        <v>93</v>
      </c>
      <c r="E1081" s="15">
        <v>0.5</v>
      </c>
      <c r="AU1081" s="43"/>
      <c r="AX1081" s="15" t="s">
        <v>86</v>
      </c>
    </row>
    <row r="1082">
      <c r="A1082" s="40">
        <v>46183.0</v>
      </c>
      <c r="B1082" s="4" t="s">
        <v>115</v>
      </c>
      <c r="C1082" s="4" t="s">
        <v>259</v>
      </c>
      <c r="D1082" s="15" t="s">
        <v>38</v>
      </c>
      <c r="E1082" s="15">
        <v>1.0</v>
      </c>
      <c r="AU1082" s="43"/>
      <c r="AX1082" s="15" t="s">
        <v>86</v>
      </c>
    </row>
    <row r="1083">
      <c r="A1083" s="40">
        <v>46183.0</v>
      </c>
      <c r="B1083" s="4" t="s">
        <v>196</v>
      </c>
      <c r="C1083" s="4" t="s">
        <v>1747</v>
      </c>
      <c r="D1083" s="15" t="s">
        <v>93</v>
      </c>
      <c r="E1083" s="15">
        <v>3.0</v>
      </c>
      <c r="AU1083" s="43"/>
      <c r="AX1083" s="15" t="s">
        <v>86</v>
      </c>
    </row>
    <row r="1084">
      <c r="A1084" s="40">
        <v>46183.0</v>
      </c>
      <c r="B1084" s="4" t="s">
        <v>58</v>
      </c>
      <c r="C1084" s="4" t="s">
        <v>194</v>
      </c>
      <c r="D1084" s="15" t="s">
        <v>38</v>
      </c>
      <c r="E1084" s="15">
        <v>0.5</v>
      </c>
      <c r="AU1084" s="43"/>
      <c r="AX1084" s="15" t="s">
        <v>86</v>
      </c>
    </row>
    <row r="1085">
      <c r="A1085" s="40">
        <v>46183.0</v>
      </c>
      <c r="B1085" s="4" t="s">
        <v>1392</v>
      </c>
      <c r="C1085" s="4" t="s">
        <v>194</v>
      </c>
      <c r="D1085" s="15" t="s">
        <v>38</v>
      </c>
      <c r="E1085" s="15">
        <v>0.5</v>
      </c>
      <c r="AU1085" s="43"/>
      <c r="AX1085" s="15" t="s">
        <v>86</v>
      </c>
    </row>
    <row r="1086">
      <c r="A1086" s="40">
        <v>46184.0</v>
      </c>
      <c r="B1086" s="4" t="s">
        <v>115</v>
      </c>
      <c r="C1086" s="4" t="s">
        <v>259</v>
      </c>
      <c r="D1086" s="15" t="s">
        <v>38</v>
      </c>
      <c r="E1086" s="15">
        <v>1.0</v>
      </c>
      <c r="AU1086" s="43"/>
      <c r="AX1086" s="15" t="s">
        <v>86</v>
      </c>
    </row>
    <row r="1087">
      <c r="A1087" s="40">
        <v>46184.0</v>
      </c>
      <c r="B1087" s="4" t="s">
        <v>196</v>
      </c>
      <c r="C1087" s="4" t="s">
        <v>259</v>
      </c>
      <c r="D1087" s="15" t="s">
        <v>93</v>
      </c>
      <c r="E1087" s="15">
        <v>1.0</v>
      </c>
      <c r="AU1087" s="43"/>
      <c r="AX1087" s="15" t="s">
        <v>86</v>
      </c>
    </row>
    <row r="1088">
      <c r="A1088" s="40">
        <v>46184.0</v>
      </c>
      <c r="B1088" s="4" t="s">
        <v>173</v>
      </c>
      <c r="C1088" s="4" t="s">
        <v>194</v>
      </c>
      <c r="D1088" s="15" t="s">
        <v>93</v>
      </c>
      <c r="E1088" s="15">
        <v>0.5</v>
      </c>
      <c r="AU1088" s="43"/>
      <c r="AX1088" s="15" t="s">
        <v>86</v>
      </c>
    </row>
    <row r="1089">
      <c r="A1089" s="40">
        <v>46184.0</v>
      </c>
      <c r="B1089" s="4" t="s">
        <v>196</v>
      </c>
      <c r="C1089" s="4" t="s">
        <v>259</v>
      </c>
      <c r="D1089" s="15" t="s">
        <v>93</v>
      </c>
      <c r="E1089" s="15">
        <v>1.0</v>
      </c>
      <c r="AU1089" s="43"/>
      <c r="AX1089" s="15" t="s">
        <v>86</v>
      </c>
    </row>
    <row r="1090">
      <c r="A1090" s="40">
        <v>46184.0</v>
      </c>
      <c r="B1090" s="4" t="s">
        <v>63</v>
      </c>
      <c r="C1090" s="4" t="s">
        <v>259</v>
      </c>
      <c r="D1090" s="15" t="s">
        <v>38</v>
      </c>
      <c r="E1090" s="15">
        <v>1.0</v>
      </c>
      <c r="AU1090" s="43"/>
      <c r="AX1090" s="15" t="s">
        <v>86</v>
      </c>
    </row>
    <row r="1091">
      <c r="A1091" s="40">
        <v>46184.0</v>
      </c>
      <c r="B1091" s="4" t="s">
        <v>58</v>
      </c>
      <c r="C1091" s="4" t="s">
        <v>406</v>
      </c>
      <c r="D1091" s="15" t="s">
        <v>38</v>
      </c>
      <c r="E1091" s="15">
        <v>0.4166666666666667</v>
      </c>
      <c r="AU1091" s="43"/>
      <c r="AX1091" s="15" t="s">
        <v>86</v>
      </c>
    </row>
    <row r="1092">
      <c r="A1092" s="40">
        <v>46184.0</v>
      </c>
      <c r="B1092" s="4" t="s">
        <v>192</v>
      </c>
      <c r="C1092" s="4" t="s">
        <v>194</v>
      </c>
      <c r="D1092" s="15" t="s">
        <v>93</v>
      </c>
      <c r="E1092" s="15">
        <v>0.5</v>
      </c>
      <c r="AU1092" s="43"/>
      <c r="AX1092" s="15" t="s">
        <v>86</v>
      </c>
    </row>
    <row r="1093">
      <c r="A1093" s="40">
        <v>46184.0</v>
      </c>
      <c r="B1093" s="4" t="s">
        <v>170</v>
      </c>
      <c r="C1093" s="4" t="s">
        <v>194</v>
      </c>
      <c r="D1093" s="15" t="s">
        <v>93</v>
      </c>
      <c r="E1093" s="15">
        <v>0.5</v>
      </c>
      <c r="AU1093" s="43"/>
      <c r="AX1093" s="15" t="s">
        <v>86</v>
      </c>
    </row>
    <row r="1094">
      <c r="A1094" s="40">
        <v>46184.0</v>
      </c>
      <c r="B1094" s="4" t="s">
        <v>63</v>
      </c>
      <c r="C1094" s="4" t="s">
        <v>291</v>
      </c>
      <c r="D1094" s="15" t="s">
        <v>38</v>
      </c>
      <c r="E1094" s="15">
        <v>1.5</v>
      </c>
      <c r="AU1094" s="43"/>
      <c r="AX1094" s="15" t="s">
        <v>86</v>
      </c>
    </row>
    <row r="1095">
      <c r="A1095" s="40">
        <v>46185.0</v>
      </c>
      <c r="B1095" s="4" t="s">
        <v>196</v>
      </c>
      <c r="C1095" s="4" t="s">
        <v>286</v>
      </c>
      <c r="D1095" s="15" t="s">
        <v>93</v>
      </c>
      <c r="E1095" s="15">
        <v>0.75</v>
      </c>
      <c r="AU1095" s="43"/>
      <c r="AX1095" s="15" t="s">
        <v>86</v>
      </c>
    </row>
    <row r="1096">
      <c r="A1096" s="40">
        <v>46185.0</v>
      </c>
      <c r="B1096" s="4" t="s">
        <v>173</v>
      </c>
      <c r="C1096" s="4" t="s">
        <v>194</v>
      </c>
      <c r="D1096" s="15" t="s">
        <v>93</v>
      </c>
      <c r="E1096" s="15">
        <v>0.5</v>
      </c>
      <c r="AU1096" s="43"/>
      <c r="AX1096" s="15" t="s">
        <v>86</v>
      </c>
    </row>
    <row r="1097">
      <c r="A1097" s="40">
        <v>46185.0</v>
      </c>
      <c r="B1097" s="4" t="s">
        <v>196</v>
      </c>
      <c r="C1097" s="4" t="s">
        <v>194</v>
      </c>
      <c r="D1097" s="15" t="s">
        <v>93</v>
      </c>
      <c r="E1097" s="15">
        <v>0.5</v>
      </c>
      <c r="AU1097" s="43"/>
      <c r="AX1097" s="15" t="s">
        <v>86</v>
      </c>
    </row>
    <row r="1098">
      <c r="A1098" s="40">
        <v>46185.0</v>
      </c>
      <c r="B1098" s="4" t="s">
        <v>173</v>
      </c>
      <c r="C1098" s="4" t="s">
        <v>194</v>
      </c>
      <c r="D1098" s="15" t="s">
        <v>93</v>
      </c>
      <c r="E1098" s="15">
        <v>0.5</v>
      </c>
      <c r="AU1098" s="43"/>
      <c r="AX1098" s="15" t="s">
        <v>86</v>
      </c>
    </row>
    <row r="1099">
      <c r="A1099" s="40">
        <v>46185.0</v>
      </c>
      <c r="B1099" s="4" t="s">
        <v>196</v>
      </c>
      <c r="C1099" s="4" t="s">
        <v>194</v>
      </c>
      <c r="D1099" s="15" t="s">
        <v>93</v>
      </c>
      <c r="E1099" s="15">
        <v>0.5</v>
      </c>
      <c r="AU1099" s="43"/>
      <c r="AX1099" s="15" t="s">
        <v>86</v>
      </c>
    </row>
    <row r="1100">
      <c r="A1100" s="40">
        <v>46185.0</v>
      </c>
      <c r="B1100" s="4" t="s">
        <v>173</v>
      </c>
      <c r="C1100" s="4" t="s">
        <v>194</v>
      </c>
      <c r="D1100" s="15" t="s">
        <v>93</v>
      </c>
      <c r="E1100" s="15">
        <v>0.5</v>
      </c>
      <c r="AU1100" s="43"/>
      <c r="AX1100" s="15" t="s">
        <v>86</v>
      </c>
    </row>
    <row r="1101">
      <c r="A1101" s="40">
        <v>46185.0</v>
      </c>
      <c r="B1101" s="4" t="s">
        <v>170</v>
      </c>
      <c r="C1101" s="4" t="s">
        <v>194</v>
      </c>
      <c r="D1101" s="15" t="s">
        <v>93</v>
      </c>
      <c r="E1101" s="15">
        <v>0.5</v>
      </c>
      <c r="AU1101" s="43"/>
      <c r="AX1101" s="15" t="s">
        <v>86</v>
      </c>
    </row>
    <row r="1102">
      <c r="A1102" s="40">
        <v>46185.0</v>
      </c>
      <c r="B1102" s="4" t="s">
        <v>48</v>
      </c>
      <c r="C1102" s="4" t="s">
        <v>194</v>
      </c>
      <c r="D1102" s="15" t="s">
        <v>38</v>
      </c>
      <c r="E1102" s="15">
        <v>0.5</v>
      </c>
      <c r="AU1102" s="43"/>
      <c r="AX1102" s="15" t="s">
        <v>86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15.75" customHeight="1">
      <c r="A1" s="4" t="s">
        <v>260</v>
      </c>
      <c r="B1" s="4" t="s">
        <v>263</v>
      </c>
      <c r="C1" s="4" t="s">
        <v>264</v>
      </c>
      <c r="D1" s="4" t="s">
        <v>265</v>
      </c>
      <c r="E1" s="4" t="s">
        <v>266</v>
      </c>
      <c r="F1" s="4" t="s">
        <v>267</v>
      </c>
      <c r="G1" s="4" t="s">
        <v>269</v>
      </c>
      <c r="I1" s="8"/>
    </row>
    <row r="2" ht="15.75" customHeight="1">
      <c r="A2" s="4" t="s">
        <v>53</v>
      </c>
      <c r="B2" s="4" t="s">
        <v>271</v>
      </c>
      <c r="C2" s="4" t="s">
        <v>272</v>
      </c>
      <c r="D2" s="4" t="s">
        <v>273</v>
      </c>
      <c r="E2" s="4" t="s">
        <v>274</v>
      </c>
      <c r="F2" s="14">
        <v>1.0</v>
      </c>
      <c r="G2" s="40">
        <v>46204.0</v>
      </c>
      <c r="I2" s="8"/>
    </row>
    <row r="3" ht="15.75" customHeight="1">
      <c r="A3" s="4" t="s">
        <v>53</v>
      </c>
      <c r="B3" s="4" t="s">
        <v>271</v>
      </c>
      <c r="C3" s="4" t="s">
        <v>272</v>
      </c>
      <c r="D3" s="4" t="s">
        <v>273</v>
      </c>
      <c r="E3" s="4" t="s">
        <v>276</v>
      </c>
      <c r="F3" s="14">
        <v>1.0</v>
      </c>
      <c r="G3" s="40">
        <v>46204.0</v>
      </c>
      <c r="I3" s="8"/>
    </row>
    <row r="4" ht="15.75" customHeight="1">
      <c r="A4" s="4" t="s">
        <v>53</v>
      </c>
      <c r="B4" s="4" t="s">
        <v>271</v>
      </c>
      <c r="C4" s="4" t="s">
        <v>272</v>
      </c>
      <c r="D4" s="4" t="s">
        <v>194</v>
      </c>
      <c r="E4" s="4" t="s">
        <v>279</v>
      </c>
      <c r="F4" s="14">
        <v>0.5</v>
      </c>
      <c r="G4" s="40">
        <v>46204.0</v>
      </c>
      <c r="I4" s="8"/>
    </row>
    <row r="5" ht="15.75" customHeight="1">
      <c r="A5" s="4" t="s">
        <v>53</v>
      </c>
      <c r="B5" s="4" t="s">
        <v>271</v>
      </c>
      <c r="C5" s="4" t="s">
        <v>272</v>
      </c>
      <c r="D5" s="4" t="s">
        <v>194</v>
      </c>
      <c r="E5" s="4" t="s">
        <v>280</v>
      </c>
      <c r="F5" s="14">
        <v>0.5</v>
      </c>
      <c r="G5" s="40">
        <v>46204.0</v>
      </c>
      <c r="I5" s="8"/>
    </row>
    <row r="6" ht="15.75" customHeight="1">
      <c r="A6" s="4" t="s">
        <v>53</v>
      </c>
      <c r="B6" s="4" t="s">
        <v>271</v>
      </c>
      <c r="C6" s="4" t="s">
        <v>272</v>
      </c>
      <c r="D6" s="4" t="s">
        <v>194</v>
      </c>
      <c r="E6" s="4" t="s">
        <v>282</v>
      </c>
      <c r="F6" s="14">
        <v>0.5</v>
      </c>
      <c r="G6" s="40">
        <v>46204.0</v>
      </c>
      <c r="I6" s="8"/>
    </row>
    <row r="7" ht="15.75" customHeight="1">
      <c r="A7" s="4" t="s">
        <v>53</v>
      </c>
      <c r="B7" s="4" t="s">
        <v>271</v>
      </c>
      <c r="C7" s="4" t="s">
        <v>272</v>
      </c>
      <c r="D7" s="4" t="s">
        <v>283</v>
      </c>
      <c r="E7" s="4" t="s">
        <v>284</v>
      </c>
      <c r="F7" s="14">
        <v>1.5</v>
      </c>
      <c r="G7" s="40">
        <v>46235.0</v>
      </c>
      <c r="I7" s="8"/>
    </row>
    <row r="8" ht="15.75" customHeight="1">
      <c r="A8" s="4" t="s">
        <v>53</v>
      </c>
      <c r="B8" s="4" t="s">
        <v>271</v>
      </c>
      <c r="C8" s="4" t="s">
        <v>272</v>
      </c>
      <c r="D8" s="4" t="s">
        <v>273</v>
      </c>
      <c r="E8" s="4" t="s">
        <v>285</v>
      </c>
      <c r="F8" s="14">
        <v>1.0</v>
      </c>
      <c r="G8" s="40">
        <v>46235.0</v>
      </c>
      <c r="I8" s="8"/>
    </row>
    <row r="9" ht="15.75" customHeight="1">
      <c r="A9" s="4" t="s">
        <v>53</v>
      </c>
      <c r="B9" s="4" t="s">
        <v>271</v>
      </c>
      <c r="C9" s="4" t="s">
        <v>272</v>
      </c>
      <c r="D9" s="4" t="s">
        <v>286</v>
      </c>
      <c r="E9" s="4" t="s">
        <v>287</v>
      </c>
      <c r="F9" s="14">
        <v>0.75</v>
      </c>
      <c r="G9" s="40">
        <v>46235.0</v>
      </c>
      <c r="I9" s="8"/>
    </row>
    <row r="10" ht="15.75" customHeight="1">
      <c r="A10" s="4" t="s">
        <v>53</v>
      </c>
      <c r="B10" s="4" t="s">
        <v>271</v>
      </c>
      <c r="C10" s="4" t="s">
        <v>272</v>
      </c>
      <c r="D10" s="4" t="s">
        <v>273</v>
      </c>
      <c r="E10" s="4" t="s">
        <v>288</v>
      </c>
      <c r="F10" s="14">
        <v>1.0</v>
      </c>
      <c r="G10" s="40">
        <v>46235.0</v>
      </c>
      <c r="I10" s="8"/>
    </row>
    <row r="11" ht="15.75" customHeight="1">
      <c r="A11" s="4" t="s">
        <v>53</v>
      </c>
      <c r="B11" s="4" t="s">
        <v>271</v>
      </c>
      <c r="C11" s="4" t="s">
        <v>272</v>
      </c>
      <c r="D11" s="4" t="s">
        <v>273</v>
      </c>
      <c r="E11" s="4" t="s">
        <v>289</v>
      </c>
      <c r="F11" s="14">
        <v>1.0</v>
      </c>
      <c r="G11" s="40">
        <v>46235.0</v>
      </c>
      <c r="I11" s="8"/>
    </row>
    <row r="12" ht="15.75" customHeight="1">
      <c r="A12" s="4" t="s">
        <v>53</v>
      </c>
      <c r="B12" s="4" t="s">
        <v>262</v>
      </c>
      <c r="C12" s="4" t="s">
        <v>268</v>
      </c>
      <c r="D12" s="4" t="s">
        <v>283</v>
      </c>
      <c r="E12" s="4" t="s">
        <v>290</v>
      </c>
      <c r="F12" s="14">
        <v>1.5</v>
      </c>
      <c r="G12" s="40">
        <v>46143.0</v>
      </c>
      <c r="I12" s="8"/>
    </row>
    <row r="13" ht="15.75" customHeight="1">
      <c r="A13" s="4" t="s">
        <v>53</v>
      </c>
      <c r="B13" s="4" t="s">
        <v>262</v>
      </c>
      <c r="C13" s="4" t="s">
        <v>268</v>
      </c>
      <c r="D13" s="4" t="s">
        <v>273</v>
      </c>
      <c r="E13" s="4" t="s">
        <v>292</v>
      </c>
      <c r="F13" s="14">
        <v>1.0</v>
      </c>
      <c r="G13" s="40">
        <v>46174.0</v>
      </c>
      <c r="I13" s="8"/>
    </row>
    <row r="14" ht="15.75" customHeight="1">
      <c r="A14" s="4" t="s">
        <v>53</v>
      </c>
      <c r="B14" s="4" t="s">
        <v>257</v>
      </c>
      <c r="C14" s="4" t="s">
        <v>258</v>
      </c>
      <c r="D14" s="4" t="s">
        <v>194</v>
      </c>
      <c r="E14" s="4" t="s">
        <v>293</v>
      </c>
      <c r="F14" s="14">
        <v>0.5</v>
      </c>
      <c r="G14" s="40">
        <v>46143.0</v>
      </c>
    </row>
    <row r="15" ht="15.75" customHeight="1">
      <c r="A15" s="4" t="s">
        <v>53</v>
      </c>
      <c r="B15" s="4" t="s">
        <v>257</v>
      </c>
      <c r="C15" s="4" t="s">
        <v>258</v>
      </c>
      <c r="D15" s="4" t="s">
        <v>273</v>
      </c>
      <c r="E15" s="4" t="s">
        <v>294</v>
      </c>
      <c r="F15" s="14">
        <v>1.0</v>
      </c>
      <c r="G15" s="40">
        <v>46204.0</v>
      </c>
    </row>
    <row r="16" ht="15.75" customHeight="1">
      <c r="A16" s="4" t="s">
        <v>53</v>
      </c>
      <c r="B16" s="4" t="s">
        <v>252</v>
      </c>
      <c r="C16" s="4" t="s">
        <v>254</v>
      </c>
      <c r="D16" s="4" t="s">
        <v>194</v>
      </c>
      <c r="E16" s="4" t="s">
        <v>295</v>
      </c>
      <c r="F16" s="14">
        <v>0.5</v>
      </c>
      <c r="G16" s="40">
        <v>46143.0</v>
      </c>
    </row>
    <row r="17" ht="15.75" customHeight="1">
      <c r="A17" s="4" t="s">
        <v>53</v>
      </c>
      <c r="B17" s="4" t="s">
        <v>252</v>
      </c>
      <c r="C17" s="4" t="s">
        <v>254</v>
      </c>
      <c r="D17" s="4" t="s">
        <v>194</v>
      </c>
      <c r="E17" s="4" t="s">
        <v>296</v>
      </c>
      <c r="F17" s="14">
        <v>0.5</v>
      </c>
      <c r="G17" s="40">
        <v>46174.0</v>
      </c>
    </row>
    <row r="18" ht="15.75" customHeight="1">
      <c r="A18" s="4" t="s">
        <v>53</v>
      </c>
      <c r="B18" s="4" t="s">
        <v>252</v>
      </c>
      <c r="C18" s="4" t="s">
        <v>254</v>
      </c>
      <c r="D18" s="4" t="s">
        <v>273</v>
      </c>
      <c r="E18" s="4" t="s">
        <v>297</v>
      </c>
      <c r="F18" s="14">
        <v>1.0</v>
      </c>
      <c r="G18" s="40">
        <v>46174.0</v>
      </c>
    </row>
    <row r="19" ht="15.75" customHeight="1">
      <c r="A19" s="4" t="s">
        <v>53</v>
      </c>
      <c r="B19" s="4" t="s">
        <v>252</v>
      </c>
      <c r="C19" s="4" t="s">
        <v>254</v>
      </c>
      <c r="D19" s="4" t="s">
        <v>283</v>
      </c>
      <c r="E19" s="4" t="s">
        <v>298</v>
      </c>
      <c r="F19" s="14">
        <v>1.5</v>
      </c>
      <c r="G19" s="40">
        <v>46174.0</v>
      </c>
      <c r="I19" s="46"/>
    </row>
    <row r="20" ht="15.75" customHeight="1">
      <c r="A20" s="4" t="s">
        <v>53</v>
      </c>
      <c r="B20" s="4" t="s">
        <v>252</v>
      </c>
      <c r="C20" s="4" t="s">
        <v>254</v>
      </c>
      <c r="D20" s="4" t="s">
        <v>273</v>
      </c>
      <c r="E20" s="4" t="s">
        <v>299</v>
      </c>
      <c r="F20" s="14">
        <v>1.0</v>
      </c>
      <c r="G20" s="40">
        <v>46174.0</v>
      </c>
    </row>
    <row r="21" ht="15.75" customHeight="1">
      <c r="A21" s="4" t="s">
        <v>53</v>
      </c>
      <c r="B21" s="4" t="s">
        <v>252</v>
      </c>
      <c r="C21" s="4" t="s">
        <v>254</v>
      </c>
      <c r="D21" s="4" t="s">
        <v>283</v>
      </c>
      <c r="E21" s="4" t="s">
        <v>300</v>
      </c>
      <c r="F21" s="14">
        <v>1.5</v>
      </c>
      <c r="G21" s="40">
        <v>46174.0</v>
      </c>
    </row>
    <row r="22" ht="15.75" customHeight="1">
      <c r="A22" s="4" t="s">
        <v>53</v>
      </c>
      <c r="B22" s="4" t="s">
        <v>252</v>
      </c>
      <c r="C22" s="4" t="s">
        <v>254</v>
      </c>
      <c r="D22" s="4" t="s">
        <v>273</v>
      </c>
      <c r="E22" s="4" t="s">
        <v>301</v>
      </c>
      <c r="F22" s="14">
        <v>1.0</v>
      </c>
      <c r="G22" s="40">
        <v>46174.0</v>
      </c>
    </row>
    <row r="23" ht="15.75" customHeight="1">
      <c r="A23" s="4" t="s">
        <v>53</v>
      </c>
      <c r="B23" s="4" t="s">
        <v>252</v>
      </c>
      <c r="C23" s="4" t="s">
        <v>254</v>
      </c>
      <c r="D23" s="4" t="s">
        <v>273</v>
      </c>
      <c r="E23" s="4" t="s">
        <v>302</v>
      </c>
      <c r="F23" s="14">
        <v>1.0</v>
      </c>
      <c r="G23" s="40">
        <v>46174.0</v>
      </c>
    </row>
    <row r="24" ht="15.75" customHeight="1">
      <c r="A24" s="4" t="s">
        <v>53</v>
      </c>
      <c r="B24" s="4" t="s">
        <v>252</v>
      </c>
      <c r="C24" s="4" t="s">
        <v>254</v>
      </c>
      <c r="D24" s="4" t="s">
        <v>194</v>
      </c>
      <c r="E24" s="4" t="s">
        <v>303</v>
      </c>
      <c r="F24" s="14">
        <v>0.5</v>
      </c>
      <c r="G24" s="40">
        <v>46204.0</v>
      </c>
    </row>
    <row r="25" ht="15.75" customHeight="1">
      <c r="A25" s="4" t="s">
        <v>53</v>
      </c>
      <c r="B25" s="4" t="s">
        <v>248</v>
      </c>
      <c r="C25" s="4" t="s">
        <v>249</v>
      </c>
      <c r="D25" s="4" t="s">
        <v>194</v>
      </c>
      <c r="E25" s="4" t="s">
        <v>304</v>
      </c>
      <c r="F25" s="14">
        <v>0.5</v>
      </c>
      <c r="G25" s="40">
        <v>46143.0</v>
      </c>
    </row>
    <row r="26" ht="15.75" customHeight="1">
      <c r="A26" s="4" t="s">
        <v>53</v>
      </c>
      <c r="B26" s="4" t="s">
        <v>248</v>
      </c>
      <c r="C26" s="4" t="s">
        <v>249</v>
      </c>
      <c r="D26" s="4" t="s">
        <v>283</v>
      </c>
      <c r="E26" s="4" t="s">
        <v>305</v>
      </c>
      <c r="F26" s="14">
        <v>1.5</v>
      </c>
      <c r="G26" s="40">
        <v>46143.0</v>
      </c>
    </row>
    <row r="27" ht="15.75" customHeight="1">
      <c r="A27" s="4" t="s">
        <v>53</v>
      </c>
      <c r="B27" s="4" t="s">
        <v>248</v>
      </c>
      <c r="C27" s="4" t="s">
        <v>249</v>
      </c>
      <c r="D27" s="4" t="s">
        <v>273</v>
      </c>
      <c r="E27" s="4" t="s">
        <v>306</v>
      </c>
      <c r="F27" s="14">
        <v>1.0</v>
      </c>
      <c r="G27" s="40">
        <v>46143.0</v>
      </c>
    </row>
    <row r="28" ht="15.75" customHeight="1">
      <c r="A28" s="4" t="s">
        <v>53</v>
      </c>
      <c r="B28" s="4" t="s">
        <v>248</v>
      </c>
      <c r="C28" s="4" t="s">
        <v>249</v>
      </c>
      <c r="D28" s="4" t="s">
        <v>273</v>
      </c>
      <c r="E28" s="4" t="s">
        <v>307</v>
      </c>
      <c r="F28" s="14">
        <v>1.0</v>
      </c>
      <c r="G28" s="40">
        <v>46143.0</v>
      </c>
    </row>
    <row r="29" ht="15.75" customHeight="1">
      <c r="A29" s="4" t="s">
        <v>53</v>
      </c>
      <c r="B29" s="4" t="s">
        <v>248</v>
      </c>
      <c r="C29" s="4" t="s">
        <v>249</v>
      </c>
      <c r="D29" s="4" t="s">
        <v>273</v>
      </c>
      <c r="E29" s="4" t="s">
        <v>308</v>
      </c>
      <c r="F29" s="14">
        <v>1.0</v>
      </c>
      <c r="G29" s="40">
        <v>46143.0</v>
      </c>
    </row>
    <row r="30" ht="15.75" customHeight="1">
      <c r="A30" s="4" t="s">
        <v>53</v>
      </c>
      <c r="B30" s="4" t="s">
        <v>248</v>
      </c>
      <c r="C30" s="4" t="s">
        <v>249</v>
      </c>
      <c r="D30" s="4" t="s">
        <v>194</v>
      </c>
      <c r="E30" s="4" t="s">
        <v>309</v>
      </c>
      <c r="F30" s="14">
        <v>0.5</v>
      </c>
      <c r="G30" s="40">
        <v>46143.0</v>
      </c>
    </row>
    <row r="31" ht="15.75" customHeight="1">
      <c r="A31" s="4" t="s">
        <v>53</v>
      </c>
      <c r="B31" s="4" t="s">
        <v>248</v>
      </c>
      <c r="C31" s="4" t="s">
        <v>249</v>
      </c>
      <c r="D31" s="4" t="s">
        <v>273</v>
      </c>
      <c r="E31" s="4" t="s">
        <v>310</v>
      </c>
      <c r="F31" s="14">
        <v>1.0</v>
      </c>
      <c r="G31" s="40">
        <v>46143.0</v>
      </c>
    </row>
    <row r="32" ht="15.75" customHeight="1">
      <c r="A32" s="4" t="s">
        <v>53</v>
      </c>
      <c r="B32" s="4" t="s">
        <v>248</v>
      </c>
      <c r="C32" s="4" t="s">
        <v>249</v>
      </c>
      <c r="D32" s="4" t="s">
        <v>273</v>
      </c>
      <c r="E32" s="4" t="s">
        <v>311</v>
      </c>
      <c r="F32" s="14">
        <v>1.0</v>
      </c>
      <c r="G32" s="40">
        <v>46174.0</v>
      </c>
    </row>
    <row r="33" ht="15.75" customHeight="1">
      <c r="A33" s="4" t="s">
        <v>53</v>
      </c>
      <c r="B33" s="4" t="s">
        <v>248</v>
      </c>
      <c r="C33" s="4" t="s">
        <v>249</v>
      </c>
      <c r="D33" s="4" t="s">
        <v>273</v>
      </c>
      <c r="E33" s="4" t="s">
        <v>312</v>
      </c>
      <c r="F33" s="14">
        <v>1.0</v>
      </c>
      <c r="G33" s="40">
        <v>46174.0</v>
      </c>
    </row>
    <row r="34" ht="15.75" customHeight="1">
      <c r="A34" s="4" t="s">
        <v>53</v>
      </c>
      <c r="B34" s="4" t="s">
        <v>248</v>
      </c>
      <c r="C34" s="4" t="s">
        <v>249</v>
      </c>
      <c r="D34" s="4" t="s">
        <v>273</v>
      </c>
      <c r="E34" s="4" t="s">
        <v>313</v>
      </c>
      <c r="F34" s="14">
        <v>1.0</v>
      </c>
      <c r="G34" s="40">
        <v>46174.0</v>
      </c>
    </row>
    <row r="35" ht="15.75" customHeight="1">
      <c r="A35" s="4" t="s">
        <v>53</v>
      </c>
      <c r="B35" s="4" t="s">
        <v>248</v>
      </c>
      <c r="C35" s="4" t="s">
        <v>249</v>
      </c>
      <c r="D35" s="4" t="s">
        <v>194</v>
      </c>
      <c r="E35" s="4" t="s">
        <v>315</v>
      </c>
      <c r="F35" s="14">
        <v>0.5</v>
      </c>
      <c r="G35" s="40">
        <v>46174.0</v>
      </c>
    </row>
    <row r="36" ht="15.75" customHeight="1">
      <c r="A36" s="4" t="s">
        <v>53</v>
      </c>
      <c r="B36" s="4" t="s">
        <v>248</v>
      </c>
      <c r="C36" s="4" t="s">
        <v>249</v>
      </c>
      <c r="D36" s="4" t="s">
        <v>194</v>
      </c>
      <c r="E36" s="4" t="s">
        <v>316</v>
      </c>
      <c r="F36" s="14">
        <v>0.5</v>
      </c>
      <c r="G36" s="40">
        <v>46174.0</v>
      </c>
    </row>
    <row r="37" ht="15.75" customHeight="1">
      <c r="A37" s="4" t="s">
        <v>53</v>
      </c>
      <c r="B37" s="4" t="s">
        <v>248</v>
      </c>
      <c r="C37" s="4" t="s">
        <v>249</v>
      </c>
      <c r="D37" s="4" t="s">
        <v>273</v>
      </c>
      <c r="E37" s="4" t="s">
        <v>317</v>
      </c>
      <c r="F37" s="14">
        <v>1.0</v>
      </c>
      <c r="G37" s="40">
        <v>46174.0</v>
      </c>
    </row>
    <row r="38" ht="15.75" customHeight="1">
      <c r="A38" s="4" t="s">
        <v>53</v>
      </c>
      <c r="B38" s="4" t="s">
        <v>248</v>
      </c>
      <c r="C38" s="4" t="s">
        <v>249</v>
      </c>
      <c r="D38" s="4" t="s">
        <v>273</v>
      </c>
      <c r="E38" s="4" t="s">
        <v>318</v>
      </c>
      <c r="F38" s="14">
        <v>1.0</v>
      </c>
      <c r="G38" s="40">
        <v>46174.0</v>
      </c>
    </row>
    <row r="39" ht="15.75" customHeight="1">
      <c r="A39" s="4" t="s">
        <v>53</v>
      </c>
      <c r="B39" s="4" t="s">
        <v>248</v>
      </c>
      <c r="C39" s="4" t="s">
        <v>249</v>
      </c>
      <c r="D39" s="4" t="s">
        <v>194</v>
      </c>
      <c r="E39" s="4" t="s">
        <v>319</v>
      </c>
      <c r="F39" s="14">
        <v>0.5</v>
      </c>
      <c r="G39" s="40">
        <v>46174.0</v>
      </c>
    </row>
    <row r="40" ht="15.75" customHeight="1">
      <c r="A40" s="4" t="s">
        <v>53</v>
      </c>
      <c r="B40" s="4" t="s">
        <v>248</v>
      </c>
      <c r="C40" s="4" t="s">
        <v>249</v>
      </c>
      <c r="D40" s="4" t="s">
        <v>273</v>
      </c>
      <c r="E40" s="4" t="s">
        <v>320</v>
      </c>
      <c r="F40" s="14">
        <v>1.0</v>
      </c>
      <c r="G40" s="40">
        <v>46174.0</v>
      </c>
    </row>
    <row r="41" ht="15.75" customHeight="1">
      <c r="A41" s="4" t="s">
        <v>53</v>
      </c>
      <c r="B41" s="4" t="s">
        <v>248</v>
      </c>
      <c r="C41" s="4" t="s">
        <v>249</v>
      </c>
      <c r="D41" s="4" t="s">
        <v>194</v>
      </c>
      <c r="E41" s="4" t="s">
        <v>321</v>
      </c>
      <c r="F41" s="14">
        <v>0.5</v>
      </c>
      <c r="G41" s="40">
        <v>46174.0</v>
      </c>
    </row>
    <row r="42" ht="15.75" customHeight="1">
      <c r="A42" s="4" t="s">
        <v>53</v>
      </c>
      <c r="B42" s="4" t="s">
        <v>248</v>
      </c>
      <c r="C42" s="4" t="s">
        <v>249</v>
      </c>
      <c r="D42" s="4" t="s">
        <v>283</v>
      </c>
      <c r="E42" s="4" t="s">
        <v>322</v>
      </c>
      <c r="F42" s="14">
        <v>1.5</v>
      </c>
      <c r="G42" s="40">
        <v>46174.0</v>
      </c>
    </row>
    <row r="43" ht="15.75" customHeight="1">
      <c r="A43" s="4" t="s">
        <v>53</v>
      </c>
      <c r="B43" s="4" t="s">
        <v>248</v>
      </c>
      <c r="C43" s="4" t="s">
        <v>249</v>
      </c>
      <c r="D43" s="4" t="s">
        <v>273</v>
      </c>
      <c r="E43" s="4" t="s">
        <v>323</v>
      </c>
      <c r="F43" s="14">
        <v>1.0</v>
      </c>
      <c r="G43" s="40">
        <v>46204.0</v>
      </c>
    </row>
    <row r="44" ht="15.75" customHeight="1">
      <c r="A44" s="4" t="s">
        <v>53</v>
      </c>
      <c r="B44" s="4" t="s">
        <v>248</v>
      </c>
      <c r="C44" s="4" t="s">
        <v>249</v>
      </c>
      <c r="D44" s="4" t="s">
        <v>194</v>
      </c>
      <c r="E44" s="4" t="s">
        <v>324</v>
      </c>
      <c r="F44" s="14">
        <v>0.5</v>
      </c>
      <c r="G44" s="40">
        <v>46204.0</v>
      </c>
    </row>
    <row r="45" ht="15.75" customHeight="1">
      <c r="A45" s="4" t="s">
        <v>53</v>
      </c>
      <c r="B45" s="4" t="s">
        <v>248</v>
      </c>
      <c r="C45" s="4" t="s">
        <v>249</v>
      </c>
      <c r="D45" s="4" t="s">
        <v>194</v>
      </c>
      <c r="E45" s="4" t="s">
        <v>325</v>
      </c>
      <c r="F45" s="14">
        <v>0.5</v>
      </c>
      <c r="G45" s="40">
        <v>46204.0</v>
      </c>
    </row>
    <row r="46" ht="15.75" customHeight="1">
      <c r="A46" s="4" t="s">
        <v>53</v>
      </c>
      <c r="B46" s="4" t="s">
        <v>248</v>
      </c>
      <c r="C46" s="4" t="s">
        <v>249</v>
      </c>
      <c r="D46" s="4" t="s">
        <v>273</v>
      </c>
      <c r="E46" s="4" t="s">
        <v>326</v>
      </c>
      <c r="F46" s="14">
        <v>1.0</v>
      </c>
      <c r="G46" s="40">
        <v>46204.0</v>
      </c>
    </row>
    <row r="47" ht="15.75" customHeight="1">
      <c r="A47" s="4" t="s">
        <v>53</v>
      </c>
      <c r="B47" s="4" t="s">
        <v>248</v>
      </c>
      <c r="C47" s="4" t="s">
        <v>249</v>
      </c>
      <c r="D47" s="4" t="s">
        <v>194</v>
      </c>
      <c r="E47" s="4" t="s">
        <v>327</v>
      </c>
      <c r="F47" s="14">
        <v>0.5</v>
      </c>
      <c r="G47" s="40">
        <v>46204.0</v>
      </c>
    </row>
    <row r="48" ht="15.75" customHeight="1">
      <c r="A48" s="4" t="s">
        <v>53</v>
      </c>
      <c r="B48" s="4" t="s">
        <v>248</v>
      </c>
      <c r="C48" s="4" t="s">
        <v>249</v>
      </c>
      <c r="D48" s="4" t="s">
        <v>194</v>
      </c>
      <c r="E48" s="4" t="s">
        <v>328</v>
      </c>
      <c r="F48" s="14">
        <v>0.5</v>
      </c>
      <c r="G48" s="40">
        <v>46204.0</v>
      </c>
    </row>
    <row r="49" ht="15.75" customHeight="1">
      <c r="A49" s="4" t="s">
        <v>53</v>
      </c>
      <c r="B49" s="4" t="s">
        <v>248</v>
      </c>
      <c r="C49" s="4" t="s">
        <v>249</v>
      </c>
      <c r="D49" s="4" t="s">
        <v>273</v>
      </c>
      <c r="E49" s="4" t="s">
        <v>329</v>
      </c>
      <c r="F49" s="14">
        <v>1.0</v>
      </c>
      <c r="G49" s="40">
        <v>46235.0</v>
      </c>
    </row>
    <row r="50" ht="15.75" customHeight="1">
      <c r="A50" s="4" t="s">
        <v>53</v>
      </c>
      <c r="B50" s="4" t="s">
        <v>248</v>
      </c>
      <c r="C50" s="4" t="s">
        <v>249</v>
      </c>
      <c r="D50" s="4" t="s">
        <v>194</v>
      </c>
      <c r="E50" s="4" t="s">
        <v>330</v>
      </c>
      <c r="F50" s="14">
        <v>0.5</v>
      </c>
      <c r="G50" s="40">
        <v>46235.0</v>
      </c>
    </row>
    <row r="51" ht="15.75" customHeight="1">
      <c r="A51" s="4" t="s">
        <v>53</v>
      </c>
      <c r="B51" s="4" t="s">
        <v>242</v>
      </c>
      <c r="C51" s="4" t="s">
        <v>243</v>
      </c>
      <c r="D51" s="4" t="s">
        <v>273</v>
      </c>
      <c r="E51" s="4" t="s">
        <v>331</v>
      </c>
      <c r="F51" s="14">
        <v>1.0</v>
      </c>
      <c r="G51" s="40">
        <v>46174.0</v>
      </c>
    </row>
    <row r="52" ht="15.75" customHeight="1">
      <c r="A52" s="4" t="s">
        <v>53</v>
      </c>
      <c r="B52" s="4" t="s">
        <v>242</v>
      </c>
      <c r="C52" s="4" t="s">
        <v>243</v>
      </c>
      <c r="D52" s="4" t="s">
        <v>273</v>
      </c>
      <c r="E52" s="4" t="s">
        <v>332</v>
      </c>
      <c r="F52" s="14">
        <v>1.0</v>
      </c>
      <c r="G52" s="40">
        <v>46174.0</v>
      </c>
    </row>
    <row r="53" ht="15.75" customHeight="1">
      <c r="A53" s="4" t="s">
        <v>53</v>
      </c>
      <c r="B53" s="4" t="s">
        <v>242</v>
      </c>
      <c r="C53" s="4" t="s">
        <v>243</v>
      </c>
      <c r="D53" s="4" t="s">
        <v>194</v>
      </c>
      <c r="E53" s="4" t="s">
        <v>333</v>
      </c>
      <c r="F53" s="14">
        <v>0.5</v>
      </c>
      <c r="G53" s="40">
        <v>46204.0</v>
      </c>
    </row>
    <row r="54" ht="15.75" customHeight="1">
      <c r="A54" s="4" t="s">
        <v>53</v>
      </c>
      <c r="B54" s="4" t="s">
        <v>242</v>
      </c>
      <c r="C54" s="4" t="s">
        <v>243</v>
      </c>
      <c r="D54" s="4" t="s">
        <v>283</v>
      </c>
      <c r="E54" s="4" t="s">
        <v>334</v>
      </c>
      <c r="F54" s="14">
        <v>1.5</v>
      </c>
      <c r="G54" s="40">
        <v>46235.0</v>
      </c>
    </row>
    <row r="55" ht="15.75" customHeight="1">
      <c r="A55" s="4" t="s">
        <v>53</v>
      </c>
      <c r="B55" s="4" t="s">
        <v>242</v>
      </c>
      <c r="C55" s="4" t="s">
        <v>243</v>
      </c>
      <c r="D55" s="4" t="s">
        <v>283</v>
      </c>
      <c r="E55" s="4" t="s">
        <v>335</v>
      </c>
      <c r="F55" s="14">
        <v>1.5</v>
      </c>
      <c r="G55" s="40">
        <v>46235.0</v>
      </c>
    </row>
    <row r="56" ht="15.75" customHeight="1">
      <c r="A56" s="4" t="s">
        <v>53</v>
      </c>
      <c r="B56" s="4" t="s">
        <v>242</v>
      </c>
      <c r="C56" s="4" t="s">
        <v>243</v>
      </c>
      <c r="D56" s="4" t="s">
        <v>283</v>
      </c>
      <c r="E56" s="4" t="s">
        <v>336</v>
      </c>
      <c r="F56" s="14">
        <v>1.5</v>
      </c>
      <c r="G56" s="40">
        <v>46235.0</v>
      </c>
    </row>
    <row r="57" ht="15.75" customHeight="1">
      <c r="A57" s="4" t="s">
        <v>53</v>
      </c>
      <c r="B57" s="4" t="s">
        <v>239</v>
      </c>
      <c r="C57" s="4" t="s">
        <v>240</v>
      </c>
      <c r="D57" s="4" t="s">
        <v>273</v>
      </c>
      <c r="E57" s="4" t="s">
        <v>337</v>
      </c>
      <c r="F57" s="14">
        <v>1.0</v>
      </c>
      <c r="G57" s="40">
        <v>46143.0</v>
      </c>
    </row>
    <row r="58" ht="15.75" customHeight="1">
      <c r="A58" s="4" t="s">
        <v>53</v>
      </c>
      <c r="B58" s="4" t="s">
        <v>239</v>
      </c>
      <c r="C58" s="4" t="s">
        <v>240</v>
      </c>
      <c r="D58" s="4" t="s">
        <v>273</v>
      </c>
      <c r="E58" s="4" t="s">
        <v>338</v>
      </c>
      <c r="F58" s="14">
        <v>1.0</v>
      </c>
      <c r="G58" s="40">
        <v>46143.0</v>
      </c>
    </row>
    <row r="59" ht="15.75" customHeight="1">
      <c r="A59" s="4" t="s">
        <v>53</v>
      </c>
      <c r="B59" s="4" t="s">
        <v>239</v>
      </c>
      <c r="C59" s="4" t="s">
        <v>240</v>
      </c>
      <c r="D59" s="4" t="s">
        <v>194</v>
      </c>
      <c r="E59" s="4" t="s">
        <v>339</v>
      </c>
      <c r="F59" s="14">
        <v>0.5</v>
      </c>
      <c r="G59" s="40">
        <v>46143.0</v>
      </c>
    </row>
    <row r="60" ht="15.75" customHeight="1">
      <c r="A60" s="4" t="s">
        <v>53</v>
      </c>
      <c r="B60" s="4" t="s">
        <v>340</v>
      </c>
      <c r="C60" s="4" t="s">
        <v>341</v>
      </c>
      <c r="D60" s="4" t="s">
        <v>194</v>
      </c>
      <c r="E60" s="4" t="s">
        <v>342</v>
      </c>
      <c r="F60" s="14">
        <v>0.5</v>
      </c>
      <c r="G60" s="40">
        <v>46143.0</v>
      </c>
    </row>
    <row r="61" ht="15.75" customHeight="1">
      <c r="A61" s="4" t="s">
        <v>53</v>
      </c>
      <c r="B61" s="4" t="s">
        <v>236</v>
      </c>
      <c r="C61" s="4" t="s">
        <v>237</v>
      </c>
      <c r="D61" s="4" t="s">
        <v>194</v>
      </c>
      <c r="E61" s="4" t="s">
        <v>343</v>
      </c>
      <c r="F61" s="14">
        <v>0.5</v>
      </c>
      <c r="G61" s="40">
        <v>46143.0</v>
      </c>
    </row>
    <row r="62" ht="15.75" customHeight="1">
      <c r="A62" s="4" t="s">
        <v>53</v>
      </c>
      <c r="B62" s="4" t="s">
        <v>236</v>
      </c>
      <c r="C62" s="4" t="s">
        <v>237</v>
      </c>
      <c r="D62" s="4" t="s">
        <v>194</v>
      </c>
      <c r="E62" s="4" t="s">
        <v>344</v>
      </c>
      <c r="F62" s="14">
        <v>0.5</v>
      </c>
      <c r="G62" s="40">
        <v>46143.0</v>
      </c>
    </row>
    <row r="63" ht="15.75" customHeight="1">
      <c r="A63" s="4" t="s">
        <v>53</v>
      </c>
      <c r="B63" s="4" t="s">
        <v>236</v>
      </c>
      <c r="C63" s="4" t="s">
        <v>237</v>
      </c>
      <c r="D63" s="4" t="s">
        <v>273</v>
      </c>
      <c r="E63" s="4" t="s">
        <v>345</v>
      </c>
      <c r="F63" s="14">
        <v>1.0</v>
      </c>
      <c r="G63" s="40">
        <v>46143.0</v>
      </c>
    </row>
    <row r="64" ht="15.75" customHeight="1">
      <c r="A64" s="4" t="s">
        <v>53</v>
      </c>
      <c r="B64" s="4" t="s">
        <v>346</v>
      </c>
      <c r="C64" s="4" t="s">
        <v>347</v>
      </c>
      <c r="D64" s="4" t="s">
        <v>348</v>
      </c>
      <c r="E64" s="4" t="s">
        <v>349</v>
      </c>
      <c r="F64" s="14">
        <v>5.0</v>
      </c>
      <c r="G64" s="40">
        <v>46054.0</v>
      </c>
    </row>
    <row r="65" ht="15.75" customHeight="1">
      <c r="A65" s="4" t="s">
        <v>53</v>
      </c>
      <c r="B65" s="4" t="s">
        <v>346</v>
      </c>
      <c r="C65" s="4" t="s">
        <v>347</v>
      </c>
      <c r="D65" s="4" t="s">
        <v>273</v>
      </c>
      <c r="E65" s="4" t="s">
        <v>350</v>
      </c>
      <c r="F65" s="14">
        <v>1.0</v>
      </c>
      <c r="G65" s="40">
        <v>46054.0</v>
      </c>
    </row>
    <row r="66" ht="15.75" customHeight="1">
      <c r="A66" s="4" t="s">
        <v>53</v>
      </c>
      <c r="B66" s="4" t="s">
        <v>346</v>
      </c>
      <c r="C66" s="4" t="s">
        <v>347</v>
      </c>
      <c r="D66" s="4" t="s">
        <v>194</v>
      </c>
      <c r="E66" s="4" t="s">
        <v>351</v>
      </c>
      <c r="F66" s="14">
        <v>0.5</v>
      </c>
      <c r="G66" s="40">
        <v>46054.0</v>
      </c>
    </row>
    <row r="67" ht="15.75" customHeight="1">
      <c r="A67" s="4" t="s">
        <v>53</v>
      </c>
      <c r="B67" s="4" t="s">
        <v>346</v>
      </c>
      <c r="C67" s="4" t="s">
        <v>347</v>
      </c>
      <c r="D67" s="4" t="s">
        <v>194</v>
      </c>
      <c r="E67" s="4" t="s">
        <v>352</v>
      </c>
      <c r="F67" s="14">
        <v>0.5</v>
      </c>
      <c r="G67" s="40">
        <v>46054.0</v>
      </c>
    </row>
    <row r="68" ht="15.75" customHeight="1">
      <c r="A68" s="4" t="s">
        <v>53</v>
      </c>
      <c r="B68" s="4" t="s">
        <v>346</v>
      </c>
      <c r="C68" s="4" t="s">
        <v>347</v>
      </c>
      <c r="D68" s="4" t="s">
        <v>194</v>
      </c>
      <c r="E68" s="4" t="s">
        <v>353</v>
      </c>
      <c r="F68" s="14">
        <v>0.5</v>
      </c>
      <c r="G68" s="40">
        <v>46054.0</v>
      </c>
    </row>
    <row r="69" ht="15.75" customHeight="1">
      <c r="A69" s="4" t="s">
        <v>53</v>
      </c>
      <c r="B69" s="4" t="s">
        <v>346</v>
      </c>
      <c r="C69" s="4" t="s">
        <v>347</v>
      </c>
      <c r="D69" s="4" t="s">
        <v>194</v>
      </c>
      <c r="E69" s="4" t="s">
        <v>354</v>
      </c>
      <c r="F69" s="14">
        <v>0.5</v>
      </c>
      <c r="G69" s="40">
        <v>46082.0</v>
      </c>
    </row>
    <row r="70" ht="15.75" customHeight="1">
      <c r="A70" s="4" t="s">
        <v>53</v>
      </c>
      <c r="B70" s="4" t="s">
        <v>355</v>
      </c>
      <c r="C70" s="4" t="s">
        <v>356</v>
      </c>
      <c r="D70" s="4" t="s">
        <v>273</v>
      </c>
      <c r="E70" s="4" t="s">
        <v>357</v>
      </c>
      <c r="F70" s="14">
        <v>1.0</v>
      </c>
      <c r="G70" s="40">
        <v>46054.0</v>
      </c>
    </row>
    <row r="71" ht="15.75" customHeight="1">
      <c r="A71" s="4" t="s">
        <v>53</v>
      </c>
      <c r="B71" s="4" t="s">
        <v>358</v>
      </c>
      <c r="C71" s="4" t="s">
        <v>359</v>
      </c>
      <c r="D71" s="4" t="s">
        <v>273</v>
      </c>
      <c r="E71" s="4" t="s">
        <v>360</v>
      </c>
      <c r="F71" s="14">
        <v>1.0</v>
      </c>
      <c r="G71" s="40">
        <v>46023.0</v>
      </c>
    </row>
    <row r="72" ht="15.75" customHeight="1">
      <c r="A72" s="4" t="s">
        <v>53</v>
      </c>
      <c r="B72" s="4" t="s">
        <v>358</v>
      </c>
      <c r="C72" s="4" t="s">
        <v>359</v>
      </c>
      <c r="D72" s="4" t="s">
        <v>283</v>
      </c>
      <c r="E72" s="4" t="s">
        <v>361</v>
      </c>
      <c r="F72" s="14">
        <v>1.5</v>
      </c>
      <c r="G72" s="40">
        <v>46023.0</v>
      </c>
    </row>
    <row r="73" ht="15.75" customHeight="1">
      <c r="A73" s="4" t="s">
        <v>53</v>
      </c>
      <c r="B73" s="4" t="s">
        <v>358</v>
      </c>
      <c r="C73" s="4" t="s">
        <v>359</v>
      </c>
      <c r="D73" s="4" t="s">
        <v>273</v>
      </c>
      <c r="E73" s="4" t="s">
        <v>362</v>
      </c>
      <c r="F73" s="14">
        <v>1.0</v>
      </c>
      <c r="G73" s="40">
        <v>46023.0</v>
      </c>
    </row>
    <row r="74" ht="15.75" customHeight="1">
      <c r="A74" s="4" t="s">
        <v>53</v>
      </c>
      <c r="B74" s="4" t="s">
        <v>358</v>
      </c>
      <c r="C74" s="4" t="s">
        <v>359</v>
      </c>
      <c r="D74" s="4" t="s">
        <v>363</v>
      </c>
      <c r="E74" s="4" t="s">
        <v>364</v>
      </c>
      <c r="F74" s="14">
        <v>2.0</v>
      </c>
      <c r="G74" s="40">
        <v>46023.0</v>
      </c>
    </row>
    <row r="75" ht="15.75" customHeight="1">
      <c r="A75" s="4" t="s">
        <v>53</v>
      </c>
      <c r="B75" s="4" t="s">
        <v>358</v>
      </c>
      <c r="C75" s="4" t="s">
        <v>359</v>
      </c>
      <c r="D75" s="4" t="s">
        <v>283</v>
      </c>
      <c r="E75" s="4" t="s">
        <v>365</v>
      </c>
      <c r="F75" s="14">
        <v>1.5</v>
      </c>
      <c r="G75" s="40">
        <v>46023.0</v>
      </c>
    </row>
    <row r="76" ht="15.75" customHeight="1">
      <c r="A76" s="4" t="s">
        <v>53</v>
      </c>
      <c r="B76" s="4" t="s">
        <v>233</v>
      </c>
      <c r="C76" s="4" t="s">
        <v>234</v>
      </c>
      <c r="D76" s="4" t="s">
        <v>273</v>
      </c>
      <c r="E76" s="4" t="s">
        <v>366</v>
      </c>
      <c r="F76" s="14">
        <v>1.0</v>
      </c>
      <c r="G76" s="40">
        <v>46023.0</v>
      </c>
    </row>
    <row r="77" ht="15.75" customHeight="1">
      <c r="A77" s="4" t="s">
        <v>53</v>
      </c>
      <c r="B77" s="4" t="s">
        <v>233</v>
      </c>
      <c r="C77" s="4" t="s">
        <v>234</v>
      </c>
      <c r="D77" s="4" t="s">
        <v>194</v>
      </c>
      <c r="E77" s="4" t="s">
        <v>367</v>
      </c>
      <c r="F77" s="14">
        <v>0.5</v>
      </c>
      <c r="G77" s="40">
        <v>46023.0</v>
      </c>
    </row>
    <row r="78" ht="15.75" customHeight="1">
      <c r="A78" s="4" t="s">
        <v>53</v>
      </c>
      <c r="B78" s="4" t="s">
        <v>233</v>
      </c>
      <c r="C78" s="4" t="s">
        <v>234</v>
      </c>
      <c r="D78" s="4" t="s">
        <v>194</v>
      </c>
      <c r="E78" s="4" t="s">
        <v>368</v>
      </c>
      <c r="F78" s="14">
        <v>0.5</v>
      </c>
      <c r="G78" s="40">
        <v>46054.0</v>
      </c>
    </row>
    <row r="79" ht="15.75" customHeight="1">
      <c r="A79" s="4" t="s">
        <v>53</v>
      </c>
      <c r="B79" s="4" t="s">
        <v>233</v>
      </c>
      <c r="C79" s="4" t="s">
        <v>234</v>
      </c>
      <c r="D79" s="4" t="s">
        <v>273</v>
      </c>
      <c r="E79" s="4" t="s">
        <v>369</v>
      </c>
      <c r="F79" s="14">
        <v>1.0</v>
      </c>
      <c r="G79" s="40">
        <v>46113.0</v>
      </c>
    </row>
    <row r="80" ht="15.75" customHeight="1">
      <c r="A80" s="4" t="s">
        <v>53</v>
      </c>
      <c r="B80" s="4" t="s">
        <v>233</v>
      </c>
      <c r="C80" s="4" t="s">
        <v>234</v>
      </c>
      <c r="D80" s="4" t="s">
        <v>194</v>
      </c>
      <c r="E80" s="4" t="s">
        <v>370</v>
      </c>
      <c r="F80" s="14">
        <v>0.5</v>
      </c>
      <c r="G80" s="40">
        <v>46143.0</v>
      </c>
    </row>
    <row r="81" ht="15.75" customHeight="1">
      <c r="A81" s="4" t="s">
        <v>53</v>
      </c>
      <c r="B81" s="4" t="s">
        <v>233</v>
      </c>
      <c r="C81" s="4" t="s">
        <v>234</v>
      </c>
      <c r="D81" s="4" t="s">
        <v>194</v>
      </c>
      <c r="E81" s="4" t="s">
        <v>371</v>
      </c>
      <c r="F81" s="14">
        <v>0.5</v>
      </c>
      <c r="G81" s="40">
        <v>46143.0</v>
      </c>
    </row>
    <row r="82" ht="15.75" customHeight="1">
      <c r="A82" s="4" t="s">
        <v>53</v>
      </c>
      <c r="B82" s="4" t="s">
        <v>233</v>
      </c>
      <c r="C82" s="4" t="s">
        <v>234</v>
      </c>
      <c r="D82" s="4" t="s">
        <v>273</v>
      </c>
      <c r="E82" s="4" t="s">
        <v>372</v>
      </c>
      <c r="F82" s="14">
        <v>1.0</v>
      </c>
      <c r="G82" s="40">
        <v>46174.0</v>
      </c>
    </row>
    <row r="83" ht="15.75" customHeight="1">
      <c r="A83" s="4" t="s">
        <v>53</v>
      </c>
      <c r="B83" s="4" t="s">
        <v>233</v>
      </c>
      <c r="C83" s="4" t="s">
        <v>234</v>
      </c>
      <c r="D83" s="4" t="s">
        <v>194</v>
      </c>
      <c r="E83" s="4" t="s">
        <v>373</v>
      </c>
      <c r="F83" s="14">
        <v>0.5</v>
      </c>
      <c r="G83" s="40">
        <v>46204.0</v>
      </c>
    </row>
    <row r="84" ht="15.75" customHeight="1">
      <c r="A84" s="4" t="s">
        <v>53</v>
      </c>
      <c r="B84" s="4" t="s">
        <v>233</v>
      </c>
      <c r="C84" s="4" t="s">
        <v>234</v>
      </c>
      <c r="D84" s="4" t="s">
        <v>273</v>
      </c>
      <c r="E84" s="4" t="s">
        <v>374</v>
      </c>
      <c r="F84" s="14">
        <v>1.0</v>
      </c>
      <c r="G84" s="40">
        <v>46204.0</v>
      </c>
    </row>
    <row r="85" ht="15.75" customHeight="1">
      <c r="A85" s="4" t="s">
        <v>53</v>
      </c>
      <c r="B85" s="4" t="s">
        <v>230</v>
      </c>
      <c r="C85" s="4" t="s">
        <v>231</v>
      </c>
      <c r="D85" s="4" t="s">
        <v>194</v>
      </c>
      <c r="E85" s="4" t="s">
        <v>376</v>
      </c>
      <c r="F85" s="14">
        <v>0.5</v>
      </c>
      <c r="G85" s="40">
        <v>46023.0</v>
      </c>
    </row>
    <row r="86" ht="15.75" customHeight="1">
      <c r="A86" s="4" t="s">
        <v>53</v>
      </c>
      <c r="B86" s="4" t="s">
        <v>230</v>
      </c>
      <c r="C86" s="4" t="s">
        <v>231</v>
      </c>
      <c r="D86" s="4" t="s">
        <v>273</v>
      </c>
      <c r="E86" s="4" t="s">
        <v>377</v>
      </c>
      <c r="F86" s="14">
        <v>1.0</v>
      </c>
      <c r="G86" s="40">
        <v>46023.0</v>
      </c>
    </row>
    <row r="87" ht="15.75" customHeight="1">
      <c r="A87" s="4" t="s">
        <v>53</v>
      </c>
      <c r="B87" s="4" t="s">
        <v>230</v>
      </c>
      <c r="C87" s="4" t="s">
        <v>231</v>
      </c>
      <c r="D87" s="4" t="s">
        <v>194</v>
      </c>
      <c r="E87" s="4" t="s">
        <v>378</v>
      </c>
      <c r="F87" s="14">
        <v>0.5</v>
      </c>
      <c r="G87" s="40">
        <v>46023.0</v>
      </c>
    </row>
    <row r="88" ht="15.75" customHeight="1">
      <c r="A88" s="4" t="s">
        <v>53</v>
      </c>
      <c r="B88" s="4" t="s">
        <v>230</v>
      </c>
      <c r="C88" s="4" t="s">
        <v>231</v>
      </c>
      <c r="D88" s="4" t="s">
        <v>194</v>
      </c>
      <c r="E88" s="4" t="s">
        <v>381</v>
      </c>
      <c r="F88" s="14">
        <v>0.5</v>
      </c>
      <c r="G88" s="40">
        <v>46023.0</v>
      </c>
    </row>
    <row r="89" ht="15.75" customHeight="1">
      <c r="A89" s="4" t="s">
        <v>53</v>
      </c>
      <c r="B89" s="4" t="s">
        <v>230</v>
      </c>
      <c r="C89" s="4" t="s">
        <v>231</v>
      </c>
      <c r="D89" s="4" t="s">
        <v>286</v>
      </c>
      <c r="E89" s="4" t="s">
        <v>382</v>
      </c>
      <c r="F89" s="14">
        <v>0.75</v>
      </c>
      <c r="G89" s="40">
        <v>46023.0</v>
      </c>
    </row>
    <row r="90" ht="15.75" customHeight="1">
      <c r="A90" s="4" t="s">
        <v>53</v>
      </c>
      <c r="B90" s="4" t="s">
        <v>230</v>
      </c>
      <c r="C90" s="4" t="s">
        <v>231</v>
      </c>
      <c r="D90" s="4" t="s">
        <v>194</v>
      </c>
      <c r="E90" s="4" t="s">
        <v>384</v>
      </c>
      <c r="F90" s="14">
        <v>0.5</v>
      </c>
      <c r="G90" s="40">
        <v>46054.0</v>
      </c>
    </row>
    <row r="91" ht="15.75" customHeight="1">
      <c r="A91" s="4" t="s">
        <v>53</v>
      </c>
      <c r="B91" s="4" t="s">
        <v>230</v>
      </c>
      <c r="C91" s="4" t="s">
        <v>231</v>
      </c>
      <c r="D91" s="4" t="s">
        <v>194</v>
      </c>
      <c r="E91" s="4" t="s">
        <v>386</v>
      </c>
      <c r="F91" s="14">
        <v>0.5</v>
      </c>
      <c r="G91" s="40">
        <v>46054.0</v>
      </c>
    </row>
    <row r="92" ht="15.75" customHeight="1">
      <c r="A92" s="4" t="s">
        <v>53</v>
      </c>
      <c r="B92" s="4" t="s">
        <v>230</v>
      </c>
      <c r="C92" s="4" t="s">
        <v>231</v>
      </c>
      <c r="D92" s="4" t="s">
        <v>194</v>
      </c>
      <c r="E92" s="4" t="s">
        <v>387</v>
      </c>
      <c r="F92" s="14">
        <v>0.5</v>
      </c>
      <c r="G92" s="40">
        <v>46054.0</v>
      </c>
    </row>
    <row r="93" ht="15.75" customHeight="1">
      <c r="A93" s="4" t="s">
        <v>53</v>
      </c>
      <c r="B93" s="4" t="s">
        <v>230</v>
      </c>
      <c r="C93" s="4" t="s">
        <v>231</v>
      </c>
      <c r="D93" s="4" t="s">
        <v>194</v>
      </c>
      <c r="E93" s="4" t="s">
        <v>389</v>
      </c>
      <c r="F93" s="14">
        <v>0.5</v>
      </c>
      <c r="G93" s="40">
        <v>46082.0</v>
      </c>
    </row>
    <row r="94" ht="15.75" customHeight="1">
      <c r="A94" s="4" t="s">
        <v>53</v>
      </c>
      <c r="B94" s="4" t="s">
        <v>230</v>
      </c>
      <c r="C94" s="4" t="s">
        <v>231</v>
      </c>
      <c r="D94" s="4" t="s">
        <v>194</v>
      </c>
      <c r="E94" s="4" t="s">
        <v>390</v>
      </c>
      <c r="F94" s="14">
        <v>0.5</v>
      </c>
      <c r="G94" s="40">
        <v>46113.0</v>
      </c>
    </row>
    <row r="95" ht="15.75" customHeight="1">
      <c r="A95" s="4" t="s">
        <v>53</v>
      </c>
      <c r="B95" s="4" t="s">
        <v>230</v>
      </c>
      <c r="C95" s="4" t="s">
        <v>231</v>
      </c>
      <c r="D95" s="4" t="s">
        <v>194</v>
      </c>
      <c r="E95" s="4" t="s">
        <v>392</v>
      </c>
      <c r="F95" s="14">
        <v>0.5</v>
      </c>
      <c r="G95" s="40">
        <v>46143.0</v>
      </c>
    </row>
    <row r="96" ht="15.75" customHeight="1">
      <c r="A96" s="4" t="s">
        <v>53</v>
      </c>
      <c r="B96" s="4" t="s">
        <v>230</v>
      </c>
      <c r="C96" s="4" t="s">
        <v>231</v>
      </c>
      <c r="D96" s="4" t="s">
        <v>273</v>
      </c>
      <c r="E96" s="4" t="s">
        <v>393</v>
      </c>
      <c r="F96" s="14">
        <v>1.0</v>
      </c>
      <c r="G96" s="40">
        <v>46143.0</v>
      </c>
    </row>
    <row r="97" ht="15.75" customHeight="1">
      <c r="A97" s="4" t="s">
        <v>53</v>
      </c>
      <c r="B97" s="4" t="s">
        <v>230</v>
      </c>
      <c r="C97" s="4" t="s">
        <v>231</v>
      </c>
      <c r="D97" s="4" t="s">
        <v>194</v>
      </c>
      <c r="E97" s="4" t="s">
        <v>394</v>
      </c>
      <c r="F97" s="14">
        <v>0.5</v>
      </c>
      <c r="G97" s="40">
        <v>46143.0</v>
      </c>
    </row>
    <row r="98" ht="15.75" customHeight="1">
      <c r="A98" s="4" t="s">
        <v>53</v>
      </c>
      <c r="B98" s="4" t="s">
        <v>230</v>
      </c>
      <c r="C98" s="4" t="s">
        <v>231</v>
      </c>
      <c r="D98" s="4" t="s">
        <v>194</v>
      </c>
      <c r="E98" s="4" t="s">
        <v>395</v>
      </c>
      <c r="F98" s="14">
        <v>0.5</v>
      </c>
      <c r="G98" s="40">
        <v>46143.0</v>
      </c>
    </row>
    <row r="99" ht="15.75" customHeight="1">
      <c r="A99" s="4" t="s">
        <v>53</v>
      </c>
      <c r="B99" s="4" t="s">
        <v>230</v>
      </c>
      <c r="C99" s="4" t="s">
        <v>231</v>
      </c>
      <c r="D99" s="4" t="s">
        <v>194</v>
      </c>
      <c r="E99" s="4" t="s">
        <v>396</v>
      </c>
      <c r="F99" s="14">
        <v>0.5</v>
      </c>
      <c r="G99" s="40">
        <v>46143.0</v>
      </c>
    </row>
    <row r="100" ht="15.75" customHeight="1">
      <c r="A100" s="4" t="s">
        <v>53</v>
      </c>
      <c r="B100" s="4" t="s">
        <v>230</v>
      </c>
      <c r="C100" s="4" t="s">
        <v>231</v>
      </c>
      <c r="D100" s="4" t="s">
        <v>194</v>
      </c>
      <c r="E100" s="4" t="s">
        <v>399</v>
      </c>
      <c r="F100" s="14">
        <v>0.5</v>
      </c>
      <c r="G100" s="40">
        <v>46143.0</v>
      </c>
    </row>
    <row r="101" ht="15.75" customHeight="1">
      <c r="A101" s="4" t="s">
        <v>53</v>
      </c>
      <c r="B101" s="4" t="s">
        <v>230</v>
      </c>
      <c r="C101" s="4" t="s">
        <v>231</v>
      </c>
      <c r="D101" s="4" t="s">
        <v>194</v>
      </c>
      <c r="E101" s="4" t="s">
        <v>400</v>
      </c>
      <c r="F101" s="14">
        <v>0.5</v>
      </c>
      <c r="G101" s="40">
        <v>46143.0</v>
      </c>
    </row>
    <row r="102" ht="15.75" customHeight="1">
      <c r="A102" s="4" t="s">
        <v>53</v>
      </c>
      <c r="B102" s="4" t="s">
        <v>230</v>
      </c>
      <c r="C102" s="4" t="s">
        <v>231</v>
      </c>
      <c r="D102" s="4" t="s">
        <v>273</v>
      </c>
      <c r="E102" s="4" t="s">
        <v>401</v>
      </c>
      <c r="F102" s="14">
        <v>1.0</v>
      </c>
      <c r="G102" s="40">
        <v>46143.0</v>
      </c>
    </row>
    <row r="103" ht="15.75" customHeight="1">
      <c r="A103" s="4" t="s">
        <v>53</v>
      </c>
      <c r="B103" s="4" t="s">
        <v>230</v>
      </c>
      <c r="C103" s="4" t="s">
        <v>231</v>
      </c>
      <c r="D103" s="4" t="s">
        <v>194</v>
      </c>
      <c r="E103" s="4" t="s">
        <v>404</v>
      </c>
      <c r="F103" s="14">
        <v>0.5</v>
      </c>
      <c r="G103" s="40">
        <v>46174.0</v>
      </c>
    </row>
    <row r="104" ht="15.75" customHeight="1">
      <c r="A104" s="4" t="s">
        <v>53</v>
      </c>
      <c r="B104" s="4" t="s">
        <v>230</v>
      </c>
      <c r="C104" s="4" t="s">
        <v>231</v>
      </c>
      <c r="D104" s="4" t="s">
        <v>406</v>
      </c>
      <c r="E104" s="4" t="s">
        <v>407</v>
      </c>
      <c r="F104" s="14">
        <v>0.4166666666666667</v>
      </c>
      <c r="G104" s="40">
        <v>46174.0</v>
      </c>
    </row>
    <row r="105" ht="15.75" customHeight="1">
      <c r="A105" s="4" t="s">
        <v>53</v>
      </c>
      <c r="B105" s="4" t="s">
        <v>230</v>
      </c>
      <c r="C105" s="4" t="s">
        <v>231</v>
      </c>
      <c r="D105" s="4" t="s">
        <v>194</v>
      </c>
      <c r="E105" s="4" t="s">
        <v>408</v>
      </c>
      <c r="F105" s="14">
        <v>0.5</v>
      </c>
      <c r="G105" s="40">
        <v>46204.0</v>
      </c>
    </row>
    <row r="106" ht="15.75" customHeight="1">
      <c r="A106" s="4" t="s">
        <v>53</v>
      </c>
      <c r="B106" s="4" t="s">
        <v>230</v>
      </c>
      <c r="C106" s="4" t="s">
        <v>231</v>
      </c>
      <c r="D106" s="4" t="s">
        <v>194</v>
      </c>
      <c r="E106" s="4" t="s">
        <v>410</v>
      </c>
      <c r="F106" s="14">
        <v>0.5</v>
      </c>
      <c r="G106" s="40">
        <v>46204.0</v>
      </c>
    </row>
    <row r="107" ht="15.75" customHeight="1">
      <c r="A107" s="4" t="s">
        <v>53</v>
      </c>
      <c r="B107" s="4" t="s">
        <v>230</v>
      </c>
      <c r="C107" s="4" t="s">
        <v>231</v>
      </c>
      <c r="D107" s="4" t="s">
        <v>194</v>
      </c>
      <c r="E107" s="4" t="s">
        <v>411</v>
      </c>
      <c r="F107" s="14">
        <v>0.5</v>
      </c>
      <c r="G107" s="40">
        <v>46204.0</v>
      </c>
    </row>
    <row r="108" ht="15.75" customHeight="1">
      <c r="A108" s="4" t="s">
        <v>53</v>
      </c>
      <c r="B108" s="4" t="s">
        <v>230</v>
      </c>
      <c r="C108" s="4" t="s">
        <v>231</v>
      </c>
      <c r="D108" s="4" t="s">
        <v>194</v>
      </c>
      <c r="E108" s="4" t="s">
        <v>412</v>
      </c>
      <c r="F108" s="14">
        <v>0.5</v>
      </c>
      <c r="G108" s="40">
        <v>46204.0</v>
      </c>
    </row>
    <row r="109" ht="15.75" customHeight="1">
      <c r="A109" s="4" t="s">
        <v>53</v>
      </c>
      <c r="B109" s="4" t="s">
        <v>230</v>
      </c>
      <c r="C109" s="4" t="s">
        <v>231</v>
      </c>
      <c r="D109" s="4" t="s">
        <v>194</v>
      </c>
      <c r="E109" s="4" t="s">
        <v>413</v>
      </c>
      <c r="F109" s="14">
        <v>0.5</v>
      </c>
      <c r="G109" s="40">
        <v>46204.0</v>
      </c>
    </row>
    <row r="110" ht="15.75" customHeight="1">
      <c r="A110" s="4" t="s">
        <v>53</v>
      </c>
      <c r="B110" s="4" t="s">
        <v>227</v>
      </c>
      <c r="C110" s="4" t="s">
        <v>228</v>
      </c>
      <c r="D110" s="4" t="s">
        <v>273</v>
      </c>
      <c r="E110" s="4" t="s">
        <v>415</v>
      </c>
      <c r="F110" s="14">
        <v>1.0</v>
      </c>
      <c r="G110" s="40">
        <v>46054.0</v>
      </c>
    </row>
    <row r="111" ht="15.75" customHeight="1">
      <c r="A111" s="4" t="s">
        <v>53</v>
      </c>
      <c r="B111" s="4" t="s">
        <v>227</v>
      </c>
      <c r="C111" s="4" t="s">
        <v>228</v>
      </c>
      <c r="D111" s="4" t="s">
        <v>194</v>
      </c>
      <c r="E111" s="4" t="s">
        <v>416</v>
      </c>
      <c r="F111" s="14">
        <v>0.5</v>
      </c>
      <c r="G111" s="40">
        <v>46082.0</v>
      </c>
    </row>
    <row r="112" ht="15.75" customHeight="1">
      <c r="A112" s="4" t="s">
        <v>53</v>
      </c>
      <c r="B112" s="4" t="s">
        <v>227</v>
      </c>
      <c r="C112" s="4" t="s">
        <v>228</v>
      </c>
      <c r="D112" s="4" t="s">
        <v>273</v>
      </c>
      <c r="E112" s="4" t="s">
        <v>417</v>
      </c>
      <c r="F112" s="14">
        <v>1.0</v>
      </c>
      <c r="G112" s="40">
        <v>46082.0</v>
      </c>
    </row>
    <row r="113" ht="15.75" customHeight="1">
      <c r="A113" s="4" t="s">
        <v>53</v>
      </c>
      <c r="B113" s="4" t="s">
        <v>227</v>
      </c>
      <c r="C113" s="4" t="s">
        <v>228</v>
      </c>
      <c r="D113" s="4" t="s">
        <v>283</v>
      </c>
      <c r="E113" s="4" t="s">
        <v>419</v>
      </c>
      <c r="F113" s="14">
        <v>1.5</v>
      </c>
      <c r="G113" s="40">
        <v>46082.0</v>
      </c>
    </row>
    <row r="114" ht="15.75" customHeight="1">
      <c r="A114" s="4" t="s">
        <v>53</v>
      </c>
      <c r="B114" s="4" t="s">
        <v>227</v>
      </c>
      <c r="C114" s="4" t="s">
        <v>228</v>
      </c>
      <c r="D114" s="4" t="s">
        <v>420</v>
      </c>
      <c r="E114" s="4" t="s">
        <v>421</v>
      </c>
      <c r="F114" s="14">
        <v>0.25</v>
      </c>
      <c r="G114" s="40">
        <v>46113.0</v>
      </c>
    </row>
    <row r="115" ht="15.75" customHeight="1">
      <c r="A115" s="4" t="s">
        <v>53</v>
      </c>
      <c r="B115" s="4" t="s">
        <v>227</v>
      </c>
      <c r="C115" s="4" t="s">
        <v>228</v>
      </c>
      <c r="D115" s="4" t="s">
        <v>422</v>
      </c>
      <c r="E115" s="4" t="s">
        <v>423</v>
      </c>
      <c r="F115" s="14">
        <v>2.5</v>
      </c>
      <c r="G115" s="40">
        <v>46113.0</v>
      </c>
    </row>
    <row r="116" ht="15.75" customHeight="1">
      <c r="A116" s="4" t="s">
        <v>53</v>
      </c>
      <c r="B116" s="4" t="s">
        <v>227</v>
      </c>
      <c r="C116" s="4" t="s">
        <v>228</v>
      </c>
      <c r="D116" s="4" t="s">
        <v>273</v>
      </c>
      <c r="E116" s="4" t="s">
        <v>425</v>
      </c>
      <c r="F116" s="14">
        <v>1.0</v>
      </c>
      <c r="G116" s="40">
        <v>46113.0</v>
      </c>
    </row>
    <row r="117" ht="15.75" customHeight="1">
      <c r="A117" s="4" t="s">
        <v>53</v>
      </c>
      <c r="B117" s="4" t="s">
        <v>227</v>
      </c>
      <c r="C117" s="4" t="s">
        <v>228</v>
      </c>
      <c r="D117" s="4" t="s">
        <v>283</v>
      </c>
      <c r="E117" s="4" t="s">
        <v>427</v>
      </c>
      <c r="F117" s="14">
        <v>1.5</v>
      </c>
      <c r="G117" s="40">
        <v>46113.0</v>
      </c>
    </row>
    <row r="118" ht="15.75" customHeight="1">
      <c r="A118" s="4" t="s">
        <v>53</v>
      </c>
      <c r="B118" s="4" t="s">
        <v>227</v>
      </c>
      <c r="C118" s="4" t="s">
        <v>228</v>
      </c>
      <c r="D118" s="4" t="s">
        <v>283</v>
      </c>
      <c r="E118" s="4" t="s">
        <v>428</v>
      </c>
      <c r="F118" s="14">
        <v>1.5</v>
      </c>
      <c r="G118" s="40">
        <v>46113.0</v>
      </c>
    </row>
    <row r="119" ht="15.75" customHeight="1">
      <c r="A119" s="4" t="s">
        <v>53</v>
      </c>
      <c r="B119" s="4" t="s">
        <v>227</v>
      </c>
      <c r="C119" s="4" t="s">
        <v>228</v>
      </c>
      <c r="D119" s="4" t="s">
        <v>194</v>
      </c>
      <c r="E119" s="4" t="s">
        <v>429</v>
      </c>
      <c r="F119" s="14">
        <v>0.5</v>
      </c>
      <c r="G119" s="40">
        <v>46113.0</v>
      </c>
    </row>
    <row r="120" ht="15.75" customHeight="1">
      <c r="A120" s="4" t="s">
        <v>53</v>
      </c>
      <c r="B120" s="4" t="s">
        <v>227</v>
      </c>
      <c r="C120" s="4" t="s">
        <v>228</v>
      </c>
      <c r="D120" s="4" t="s">
        <v>194</v>
      </c>
      <c r="E120" s="4" t="s">
        <v>430</v>
      </c>
      <c r="F120" s="14">
        <v>0.5</v>
      </c>
      <c r="G120" s="40">
        <v>46113.0</v>
      </c>
    </row>
    <row r="121" ht="15.75" customHeight="1">
      <c r="A121" s="4" t="s">
        <v>53</v>
      </c>
      <c r="B121" s="4" t="s">
        <v>227</v>
      </c>
      <c r="C121" s="4" t="s">
        <v>228</v>
      </c>
      <c r="D121" s="4" t="s">
        <v>273</v>
      </c>
      <c r="E121" s="4" t="s">
        <v>431</v>
      </c>
      <c r="F121" s="14">
        <v>1.0</v>
      </c>
      <c r="G121" s="40">
        <v>46143.0</v>
      </c>
    </row>
    <row r="122" ht="15.75" customHeight="1">
      <c r="A122" s="4" t="s">
        <v>53</v>
      </c>
      <c r="B122" s="4" t="s">
        <v>227</v>
      </c>
      <c r="C122" s="4" t="s">
        <v>228</v>
      </c>
      <c r="D122" s="4" t="s">
        <v>273</v>
      </c>
      <c r="E122" s="4" t="s">
        <v>432</v>
      </c>
      <c r="F122" s="14">
        <v>1.0</v>
      </c>
      <c r="G122" s="40">
        <v>46143.0</v>
      </c>
    </row>
    <row r="123" ht="15.75" customHeight="1">
      <c r="A123" s="4" t="s">
        <v>53</v>
      </c>
      <c r="B123" s="4" t="s">
        <v>224</v>
      </c>
      <c r="C123" s="4" t="s">
        <v>225</v>
      </c>
      <c r="D123" s="4" t="s">
        <v>194</v>
      </c>
      <c r="E123" s="4" t="s">
        <v>433</v>
      </c>
      <c r="F123" s="14">
        <v>0.5</v>
      </c>
      <c r="G123" s="40">
        <v>46023.0</v>
      </c>
    </row>
    <row r="124" ht="15.75" customHeight="1">
      <c r="A124" s="4" t="s">
        <v>53</v>
      </c>
      <c r="B124" s="4" t="s">
        <v>224</v>
      </c>
      <c r="C124" s="4" t="s">
        <v>225</v>
      </c>
      <c r="D124" s="4" t="s">
        <v>273</v>
      </c>
      <c r="E124" s="4" t="s">
        <v>434</v>
      </c>
      <c r="F124" s="14">
        <v>1.0</v>
      </c>
      <c r="G124" s="40">
        <v>46023.0</v>
      </c>
    </row>
    <row r="125" ht="15.75" customHeight="1">
      <c r="A125" s="4" t="s">
        <v>53</v>
      </c>
      <c r="B125" s="4" t="s">
        <v>224</v>
      </c>
      <c r="C125" s="4" t="s">
        <v>225</v>
      </c>
      <c r="D125" s="4" t="s">
        <v>194</v>
      </c>
      <c r="E125" s="4" t="s">
        <v>435</v>
      </c>
      <c r="F125" s="14">
        <v>0.5</v>
      </c>
      <c r="G125" s="40">
        <v>46023.0</v>
      </c>
    </row>
    <row r="126" ht="15.75" customHeight="1">
      <c r="A126" s="4" t="s">
        <v>53</v>
      </c>
      <c r="B126" s="4" t="s">
        <v>224</v>
      </c>
      <c r="C126" s="4" t="s">
        <v>225</v>
      </c>
      <c r="D126" s="4" t="s">
        <v>273</v>
      </c>
      <c r="E126" s="4" t="s">
        <v>436</v>
      </c>
      <c r="F126" s="14">
        <v>1.0</v>
      </c>
      <c r="G126" s="40">
        <v>46023.0</v>
      </c>
    </row>
    <row r="127" ht="15.75" customHeight="1">
      <c r="A127" s="4" t="s">
        <v>53</v>
      </c>
      <c r="B127" s="4" t="s">
        <v>224</v>
      </c>
      <c r="C127" s="4" t="s">
        <v>225</v>
      </c>
      <c r="D127" s="4" t="s">
        <v>283</v>
      </c>
      <c r="E127" s="4" t="s">
        <v>437</v>
      </c>
      <c r="F127" s="14">
        <v>1.5</v>
      </c>
      <c r="G127" s="40">
        <v>46054.0</v>
      </c>
    </row>
    <row r="128" ht="15.75" customHeight="1">
      <c r="A128" s="4" t="s">
        <v>53</v>
      </c>
      <c r="B128" s="4" t="s">
        <v>224</v>
      </c>
      <c r="C128" s="4" t="s">
        <v>225</v>
      </c>
      <c r="D128" s="4" t="s">
        <v>273</v>
      </c>
      <c r="E128" s="4" t="s">
        <v>438</v>
      </c>
      <c r="F128" s="14">
        <v>1.0</v>
      </c>
      <c r="G128" s="40">
        <v>46054.0</v>
      </c>
    </row>
    <row r="129" ht="15.75" customHeight="1">
      <c r="A129" s="4" t="s">
        <v>53</v>
      </c>
      <c r="B129" s="4" t="s">
        <v>224</v>
      </c>
      <c r="C129" s="4" t="s">
        <v>225</v>
      </c>
      <c r="D129" s="4" t="s">
        <v>273</v>
      </c>
      <c r="E129" s="4" t="s">
        <v>439</v>
      </c>
      <c r="F129" s="14">
        <v>1.0</v>
      </c>
      <c r="G129" s="40">
        <v>46054.0</v>
      </c>
    </row>
    <row r="130" ht="15.75" customHeight="1">
      <c r="A130" s="4" t="s">
        <v>53</v>
      </c>
      <c r="B130" s="4" t="s">
        <v>224</v>
      </c>
      <c r="C130" s="4" t="s">
        <v>225</v>
      </c>
      <c r="D130" s="4" t="s">
        <v>273</v>
      </c>
      <c r="E130" s="4" t="s">
        <v>440</v>
      </c>
      <c r="F130" s="14">
        <v>1.0</v>
      </c>
      <c r="G130" s="40">
        <v>46054.0</v>
      </c>
    </row>
    <row r="131" ht="15.75" customHeight="1">
      <c r="A131" s="4" t="s">
        <v>53</v>
      </c>
      <c r="B131" s="4" t="s">
        <v>224</v>
      </c>
      <c r="C131" s="4" t="s">
        <v>225</v>
      </c>
      <c r="D131" s="4" t="s">
        <v>441</v>
      </c>
      <c r="E131" s="4" t="s">
        <v>442</v>
      </c>
      <c r="F131" s="14">
        <v>1.25</v>
      </c>
      <c r="G131" s="40">
        <v>46054.0</v>
      </c>
    </row>
    <row r="132" ht="15.75" customHeight="1">
      <c r="A132" s="4" t="s">
        <v>53</v>
      </c>
      <c r="B132" s="4" t="s">
        <v>224</v>
      </c>
      <c r="C132" s="4" t="s">
        <v>225</v>
      </c>
      <c r="D132" s="4" t="s">
        <v>286</v>
      </c>
      <c r="E132" s="4" t="s">
        <v>443</v>
      </c>
      <c r="F132" s="14">
        <v>0.75</v>
      </c>
      <c r="G132" s="40">
        <v>46054.0</v>
      </c>
    </row>
    <row r="133" ht="15.75" customHeight="1">
      <c r="A133" s="4" t="s">
        <v>53</v>
      </c>
      <c r="B133" s="4" t="s">
        <v>224</v>
      </c>
      <c r="C133" s="4" t="s">
        <v>225</v>
      </c>
      <c r="D133" s="4" t="s">
        <v>273</v>
      </c>
      <c r="E133" s="4" t="s">
        <v>444</v>
      </c>
      <c r="F133" s="14">
        <v>1.0</v>
      </c>
      <c r="G133" s="40">
        <v>46082.0</v>
      </c>
    </row>
    <row r="134" ht="15.75" customHeight="1">
      <c r="A134" s="4" t="s">
        <v>53</v>
      </c>
      <c r="B134" s="4" t="s">
        <v>224</v>
      </c>
      <c r="C134" s="4" t="s">
        <v>225</v>
      </c>
      <c r="D134" s="4" t="s">
        <v>286</v>
      </c>
      <c r="E134" s="4" t="s">
        <v>445</v>
      </c>
      <c r="F134" s="14">
        <v>0.75</v>
      </c>
      <c r="G134" s="40">
        <v>46082.0</v>
      </c>
    </row>
    <row r="135" ht="15.75" customHeight="1">
      <c r="A135" s="4" t="s">
        <v>53</v>
      </c>
      <c r="B135" s="4" t="s">
        <v>224</v>
      </c>
      <c r="C135" s="4" t="s">
        <v>225</v>
      </c>
      <c r="D135" s="4" t="s">
        <v>273</v>
      </c>
      <c r="E135" s="4" t="s">
        <v>446</v>
      </c>
      <c r="F135" s="14">
        <v>1.0</v>
      </c>
      <c r="G135" s="40">
        <v>46082.0</v>
      </c>
    </row>
    <row r="136" ht="15.75" customHeight="1">
      <c r="A136" s="4" t="s">
        <v>53</v>
      </c>
      <c r="B136" s="4" t="s">
        <v>224</v>
      </c>
      <c r="C136" s="4" t="s">
        <v>225</v>
      </c>
      <c r="D136" s="4" t="s">
        <v>273</v>
      </c>
      <c r="E136" s="4" t="s">
        <v>447</v>
      </c>
      <c r="F136" s="14">
        <v>1.0</v>
      </c>
      <c r="G136" s="40">
        <v>46082.0</v>
      </c>
    </row>
    <row r="137" ht="15.75" customHeight="1">
      <c r="A137" s="4" t="s">
        <v>53</v>
      </c>
      <c r="B137" s="4" t="s">
        <v>224</v>
      </c>
      <c r="C137" s="4" t="s">
        <v>225</v>
      </c>
      <c r="D137" s="4" t="s">
        <v>441</v>
      </c>
      <c r="E137" s="4" t="s">
        <v>448</v>
      </c>
      <c r="F137" s="14">
        <v>1.25</v>
      </c>
      <c r="G137" s="40">
        <v>46113.0</v>
      </c>
    </row>
    <row r="138" ht="15.75" customHeight="1">
      <c r="A138" s="4" t="s">
        <v>53</v>
      </c>
      <c r="B138" s="4" t="s">
        <v>224</v>
      </c>
      <c r="C138" s="4" t="s">
        <v>225</v>
      </c>
      <c r="D138" s="4" t="s">
        <v>286</v>
      </c>
      <c r="E138" s="4" t="s">
        <v>449</v>
      </c>
      <c r="F138" s="14">
        <v>0.75</v>
      </c>
      <c r="G138" s="40">
        <v>46113.0</v>
      </c>
    </row>
    <row r="139" ht="15.75" customHeight="1">
      <c r="A139" s="4" t="s">
        <v>53</v>
      </c>
      <c r="B139" s="4" t="s">
        <v>224</v>
      </c>
      <c r="C139" s="4" t="s">
        <v>225</v>
      </c>
      <c r="D139" s="4" t="s">
        <v>194</v>
      </c>
      <c r="E139" s="4" t="s">
        <v>450</v>
      </c>
      <c r="F139" s="14">
        <v>0.5</v>
      </c>
      <c r="G139" s="40">
        <v>46143.0</v>
      </c>
    </row>
    <row r="140" ht="15.75" customHeight="1">
      <c r="A140" s="4" t="s">
        <v>53</v>
      </c>
      <c r="B140" s="4" t="s">
        <v>221</v>
      </c>
      <c r="C140" s="4" t="s">
        <v>222</v>
      </c>
      <c r="D140" s="4" t="s">
        <v>273</v>
      </c>
      <c r="E140" s="4" t="s">
        <v>451</v>
      </c>
      <c r="F140" s="14">
        <v>1.0</v>
      </c>
      <c r="G140" s="40">
        <v>46023.0</v>
      </c>
    </row>
    <row r="141" ht="15.75" customHeight="1">
      <c r="A141" s="4" t="s">
        <v>53</v>
      </c>
      <c r="B141" s="4" t="s">
        <v>221</v>
      </c>
      <c r="C141" s="4" t="s">
        <v>222</v>
      </c>
      <c r="D141" s="4" t="s">
        <v>422</v>
      </c>
      <c r="E141" s="4" t="s">
        <v>452</v>
      </c>
      <c r="F141" s="14">
        <v>2.5</v>
      </c>
      <c r="G141" s="40">
        <v>46023.0</v>
      </c>
    </row>
    <row r="142" ht="15.75" customHeight="1">
      <c r="A142" s="4" t="s">
        <v>53</v>
      </c>
      <c r="B142" s="4" t="s">
        <v>221</v>
      </c>
      <c r="C142" s="4" t="s">
        <v>222</v>
      </c>
      <c r="D142" s="4" t="s">
        <v>194</v>
      </c>
      <c r="E142" s="4" t="s">
        <v>453</v>
      </c>
      <c r="F142" s="14">
        <v>0.5</v>
      </c>
      <c r="G142" s="40">
        <v>46023.0</v>
      </c>
    </row>
    <row r="143" ht="15.75" customHeight="1">
      <c r="A143" s="4" t="s">
        <v>53</v>
      </c>
      <c r="B143" s="4" t="s">
        <v>221</v>
      </c>
      <c r="C143" s="4" t="s">
        <v>222</v>
      </c>
      <c r="D143" s="4" t="s">
        <v>273</v>
      </c>
      <c r="E143" s="4" t="s">
        <v>454</v>
      </c>
      <c r="F143" s="14">
        <v>1.0</v>
      </c>
      <c r="G143" s="40">
        <v>46023.0</v>
      </c>
    </row>
    <row r="144" ht="15.75" customHeight="1">
      <c r="A144" s="4" t="s">
        <v>53</v>
      </c>
      <c r="B144" s="4" t="s">
        <v>221</v>
      </c>
      <c r="C144" s="4" t="s">
        <v>222</v>
      </c>
      <c r="D144" s="4" t="s">
        <v>273</v>
      </c>
      <c r="E144" s="4" t="s">
        <v>455</v>
      </c>
      <c r="F144" s="14">
        <v>1.0</v>
      </c>
      <c r="G144" s="40">
        <v>46023.0</v>
      </c>
    </row>
    <row r="145" ht="15.75" customHeight="1">
      <c r="A145" s="4" t="s">
        <v>53</v>
      </c>
      <c r="B145" s="4" t="s">
        <v>221</v>
      </c>
      <c r="C145" s="4" t="s">
        <v>222</v>
      </c>
      <c r="D145" s="4" t="s">
        <v>273</v>
      </c>
      <c r="E145" s="4" t="s">
        <v>456</v>
      </c>
      <c r="F145" s="14">
        <v>1.0</v>
      </c>
      <c r="G145" s="40">
        <v>46023.0</v>
      </c>
    </row>
    <row r="146" ht="15.75" customHeight="1">
      <c r="A146" s="4" t="s">
        <v>53</v>
      </c>
      <c r="B146" s="4" t="s">
        <v>221</v>
      </c>
      <c r="C146" s="4" t="s">
        <v>222</v>
      </c>
      <c r="D146" s="4" t="s">
        <v>194</v>
      </c>
      <c r="E146" s="4" t="s">
        <v>457</v>
      </c>
      <c r="F146" s="14">
        <v>0.5</v>
      </c>
      <c r="G146" s="40">
        <v>46023.0</v>
      </c>
    </row>
    <row r="147" ht="15.75" customHeight="1">
      <c r="A147" s="4" t="s">
        <v>53</v>
      </c>
      <c r="B147" s="4" t="s">
        <v>221</v>
      </c>
      <c r="C147" s="4" t="s">
        <v>222</v>
      </c>
      <c r="D147" s="4" t="s">
        <v>194</v>
      </c>
      <c r="E147" s="4" t="s">
        <v>458</v>
      </c>
      <c r="F147" s="14">
        <v>0.5</v>
      </c>
      <c r="G147" s="40">
        <v>46054.0</v>
      </c>
    </row>
    <row r="148" ht="15.75" customHeight="1">
      <c r="A148" s="4" t="s">
        <v>53</v>
      </c>
      <c r="B148" s="4" t="s">
        <v>221</v>
      </c>
      <c r="C148" s="4" t="s">
        <v>222</v>
      </c>
      <c r="D148" s="4" t="s">
        <v>273</v>
      </c>
      <c r="E148" s="4" t="s">
        <v>460</v>
      </c>
      <c r="F148" s="14">
        <v>1.0</v>
      </c>
      <c r="G148" s="40">
        <v>46054.0</v>
      </c>
    </row>
    <row r="149" ht="15.75" customHeight="1">
      <c r="A149" s="4" t="s">
        <v>53</v>
      </c>
      <c r="B149" s="4" t="s">
        <v>221</v>
      </c>
      <c r="C149" s="4" t="s">
        <v>222</v>
      </c>
      <c r="D149" s="4" t="s">
        <v>194</v>
      </c>
      <c r="E149" s="4" t="s">
        <v>461</v>
      </c>
      <c r="F149" s="14">
        <v>0.5</v>
      </c>
      <c r="G149" s="40">
        <v>46054.0</v>
      </c>
    </row>
    <row r="150" ht="15.75" customHeight="1">
      <c r="A150" s="4" t="s">
        <v>53</v>
      </c>
      <c r="B150" s="4" t="s">
        <v>221</v>
      </c>
      <c r="C150" s="4" t="s">
        <v>222</v>
      </c>
      <c r="D150" s="4" t="s">
        <v>194</v>
      </c>
      <c r="E150" s="4" t="s">
        <v>462</v>
      </c>
      <c r="F150" s="14">
        <v>0.5</v>
      </c>
      <c r="G150" s="40">
        <v>46082.0</v>
      </c>
    </row>
    <row r="151" ht="15.75" customHeight="1">
      <c r="A151" s="4" t="s">
        <v>53</v>
      </c>
      <c r="B151" s="4" t="s">
        <v>221</v>
      </c>
      <c r="C151" s="4" t="s">
        <v>222</v>
      </c>
      <c r="D151" s="4" t="s">
        <v>273</v>
      </c>
      <c r="E151" s="4" t="s">
        <v>463</v>
      </c>
      <c r="F151" s="14">
        <v>1.0</v>
      </c>
      <c r="G151" s="40">
        <v>46082.0</v>
      </c>
    </row>
    <row r="152" ht="15.75" customHeight="1">
      <c r="A152" s="4" t="s">
        <v>53</v>
      </c>
      <c r="B152" s="4" t="s">
        <v>221</v>
      </c>
      <c r="C152" s="4" t="s">
        <v>222</v>
      </c>
      <c r="D152" s="4" t="s">
        <v>283</v>
      </c>
      <c r="E152" s="4" t="s">
        <v>464</v>
      </c>
      <c r="F152" s="14">
        <v>1.5</v>
      </c>
      <c r="G152" s="40">
        <v>46082.0</v>
      </c>
    </row>
    <row r="153" ht="15.75" customHeight="1">
      <c r="A153" s="4" t="s">
        <v>53</v>
      </c>
      <c r="B153" s="4" t="s">
        <v>221</v>
      </c>
      <c r="C153" s="4" t="s">
        <v>222</v>
      </c>
      <c r="D153" s="4" t="s">
        <v>194</v>
      </c>
      <c r="E153" s="4" t="s">
        <v>465</v>
      </c>
      <c r="F153" s="14">
        <v>0.5</v>
      </c>
      <c r="G153" s="40">
        <v>46082.0</v>
      </c>
    </row>
    <row r="154" ht="15.75" customHeight="1">
      <c r="A154" s="4" t="s">
        <v>53</v>
      </c>
      <c r="B154" s="4" t="s">
        <v>221</v>
      </c>
      <c r="C154" s="4" t="s">
        <v>222</v>
      </c>
      <c r="D154" s="4" t="s">
        <v>283</v>
      </c>
      <c r="E154" s="4" t="s">
        <v>466</v>
      </c>
      <c r="F154" s="14">
        <v>1.5</v>
      </c>
      <c r="G154" s="40">
        <v>46082.0</v>
      </c>
    </row>
    <row r="155" ht="15.75" customHeight="1">
      <c r="A155" s="4" t="s">
        <v>53</v>
      </c>
      <c r="B155" s="4" t="s">
        <v>221</v>
      </c>
      <c r="C155" s="4" t="s">
        <v>222</v>
      </c>
      <c r="D155" s="4" t="s">
        <v>194</v>
      </c>
      <c r="E155" s="4" t="s">
        <v>467</v>
      </c>
      <c r="F155" s="14">
        <v>0.5</v>
      </c>
      <c r="G155" s="40">
        <v>46113.0</v>
      </c>
    </row>
    <row r="156" ht="15.75" customHeight="1">
      <c r="A156" s="4" t="s">
        <v>53</v>
      </c>
      <c r="B156" s="4" t="s">
        <v>221</v>
      </c>
      <c r="C156" s="4" t="s">
        <v>222</v>
      </c>
      <c r="D156" s="4" t="s">
        <v>273</v>
      </c>
      <c r="E156" s="4" t="s">
        <v>468</v>
      </c>
      <c r="F156" s="14">
        <v>1.0</v>
      </c>
      <c r="G156" s="40">
        <v>46113.0</v>
      </c>
    </row>
    <row r="157" ht="15.75" customHeight="1">
      <c r="A157" s="4" t="s">
        <v>53</v>
      </c>
      <c r="B157" s="4" t="s">
        <v>221</v>
      </c>
      <c r="C157" s="4" t="s">
        <v>222</v>
      </c>
      <c r="D157" s="4" t="s">
        <v>273</v>
      </c>
      <c r="E157" s="4" t="s">
        <v>469</v>
      </c>
      <c r="F157" s="14">
        <v>1.0</v>
      </c>
      <c r="G157" s="40">
        <v>46143.0</v>
      </c>
    </row>
    <row r="158" ht="15.75" customHeight="1">
      <c r="A158" s="4" t="s">
        <v>53</v>
      </c>
      <c r="B158" s="4" t="s">
        <v>221</v>
      </c>
      <c r="C158" s="4" t="s">
        <v>222</v>
      </c>
      <c r="D158" s="4" t="s">
        <v>273</v>
      </c>
      <c r="E158" s="4" t="s">
        <v>470</v>
      </c>
      <c r="F158" s="14">
        <v>1.0</v>
      </c>
      <c r="G158" s="40">
        <v>46143.0</v>
      </c>
    </row>
    <row r="159" ht="15.75" customHeight="1">
      <c r="A159" s="4" t="s">
        <v>53</v>
      </c>
      <c r="B159" s="4" t="s">
        <v>218</v>
      </c>
      <c r="C159" s="4" t="s">
        <v>219</v>
      </c>
      <c r="D159" s="4" t="s">
        <v>273</v>
      </c>
      <c r="E159" s="4" t="s">
        <v>471</v>
      </c>
      <c r="F159" s="14">
        <v>1.0</v>
      </c>
      <c r="G159" s="40">
        <v>46023.0</v>
      </c>
    </row>
    <row r="160" ht="15.75" customHeight="1">
      <c r="A160" s="4" t="s">
        <v>53</v>
      </c>
      <c r="B160" s="4" t="s">
        <v>218</v>
      </c>
      <c r="C160" s="4" t="s">
        <v>219</v>
      </c>
      <c r="D160" s="4" t="s">
        <v>194</v>
      </c>
      <c r="E160" s="4" t="s">
        <v>472</v>
      </c>
      <c r="F160" s="14">
        <v>0.5</v>
      </c>
      <c r="G160" s="40">
        <v>46023.0</v>
      </c>
    </row>
    <row r="161" ht="15.75" customHeight="1">
      <c r="A161" s="4" t="s">
        <v>53</v>
      </c>
      <c r="B161" s="4" t="s">
        <v>218</v>
      </c>
      <c r="C161" s="4" t="s">
        <v>219</v>
      </c>
      <c r="D161" s="4" t="s">
        <v>194</v>
      </c>
      <c r="E161" s="4" t="s">
        <v>473</v>
      </c>
      <c r="F161" s="14">
        <v>0.5</v>
      </c>
      <c r="G161" s="40">
        <v>46023.0</v>
      </c>
    </row>
    <row r="162" ht="15.75" customHeight="1">
      <c r="A162" s="4" t="s">
        <v>53</v>
      </c>
      <c r="B162" s="4" t="s">
        <v>218</v>
      </c>
      <c r="C162" s="4" t="s">
        <v>219</v>
      </c>
      <c r="D162" s="4" t="s">
        <v>194</v>
      </c>
      <c r="E162" s="4" t="s">
        <v>474</v>
      </c>
      <c r="F162" s="14">
        <v>0.5</v>
      </c>
      <c r="G162" s="40">
        <v>46023.0</v>
      </c>
    </row>
    <row r="163" ht="15.75" customHeight="1">
      <c r="A163" s="4" t="s">
        <v>53</v>
      </c>
      <c r="B163" s="4" t="s">
        <v>218</v>
      </c>
      <c r="C163" s="4" t="s">
        <v>219</v>
      </c>
      <c r="D163" s="4" t="s">
        <v>286</v>
      </c>
      <c r="E163" s="4" t="s">
        <v>475</v>
      </c>
      <c r="F163" s="14">
        <v>0.75</v>
      </c>
      <c r="G163" s="40">
        <v>46054.0</v>
      </c>
    </row>
    <row r="164" ht="15.75" customHeight="1">
      <c r="A164" s="4" t="s">
        <v>53</v>
      </c>
      <c r="B164" s="4" t="s">
        <v>218</v>
      </c>
      <c r="C164" s="4" t="s">
        <v>219</v>
      </c>
      <c r="D164" s="4" t="s">
        <v>283</v>
      </c>
      <c r="E164" s="4" t="s">
        <v>476</v>
      </c>
      <c r="F164" s="14">
        <v>1.5</v>
      </c>
      <c r="G164" s="40">
        <v>46054.0</v>
      </c>
    </row>
    <row r="165" ht="15.75" customHeight="1">
      <c r="A165" s="4" t="s">
        <v>53</v>
      </c>
      <c r="B165" s="4" t="s">
        <v>218</v>
      </c>
      <c r="C165" s="4" t="s">
        <v>219</v>
      </c>
      <c r="D165" s="4" t="s">
        <v>194</v>
      </c>
      <c r="E165" s="4" t="s">
        <v>477</v>
      </c>
      <c r="F165" s="14">
        <v>0.5</v>
      </c>
      <c r="G165" s="40">
        <v>46054.0</v>
      </c>
    </row>
    <row r="166" ht="15.75" customHeight="1">
      <c r="A166" s="4" t="s">
        <v>53</v>
      </c>
      <c r="B166" s="4" t="s">
        <v>218</v>
      </c>
      <c r="C166" s="4" t="s">
        <v>219</v>
      </c>
      <c r="D166" s="4" t="s">
        <v>286</v>
      </c>
      <c r="E166" s="4" t="s">
        <v>478</v>
      </c>
      <c r="F166" s="14">
        <v>0.75</v>
      </c>
      <c r="G166" s="40">
        <v>46054.0</v>
      </c>
    </row>
    <row r="167" ht="15.75" customHeight="1">
      <c r="A167" s="4" t="s">
        <v>53</v>
      </c>
      <c r="B167" s="4" t="s">
        <v>218</v>
      </c>
      <c r="C167" s="4" t="s">
        <v>219</v>
      </c>
      <c r="D167" s="4" t="s">
        <v>194</v>
      </c>
      <c r="E167" s="4" t="s">
        <v>479</v>
      </c>
      <c r="F167" s="14">
        <v>0.5</v>
      </c>
      <c r="G167" s="40">
        <v>46082.0</v>
      </c>
    </row>
    <row r="168" ht="15.75" customHeight="1">
      <c r="A168" s="4" t="s">
        <v>53</v>
      </c>
      <c r="B168" s="4" t="s">
        <v>218</v>
      </c>
      <c r="C168" s="4" t="s">
        <v>219</v>
      </c>
      <c r="D168" s="4" t="s">
        <v>194</v>
      </c>
      <c r="E168" s="4" t="s">
        <v>480</v>
      </c>
      <c r="F168" s="14">
        <v>0.5</v>
      </c>
      <c r="G168" s="40">
        <v>46082.0</v>
      </c>
    </row>
    <row r="169" ht="15.75" customHeight="1">
      <c r="A169" s="4" t="s">
        <v>53</v>
      </c>
      <c r="B169" s="4" t="s">
        <v>218</v>
      </c>
      <c r="C169" s="4" t="s">
        <v>219</v>
      </c>
      <c r="D169" s="4" t="s">
        <v>283</v>
      </c>
      <c r="E169" s="4" t="s">
        <v>481</v>
      </c>
      <c r="F169" s="14">
        <v>1.5</v>
      </c>
      <c r="G169" s="40">
        <v>46113.0</v>
      </c>
    </row>
    <row r="170" ht="15.75" customHeight="1">
      <c r="A170" s="4" t="s">
        <v>53</v>
      </c>
      <c r="B170" s="4" t="s">
        <v>218</v>
      </c>
      <c r="C170" s="4" t="s">
        <v>219</v>
      </c>
      <c r="D170" s="4" t="s">
        <v>286</v>
      </c>
      <c r="E170" s="4" t="s">
        <v>482</v>
      </c>
      <c r="F170" s="14">
        <v>0.75</v>
      </c>
      <c r="G170" s="40">
        <v>46113.0</v>
      </c>
    </row>
    <row r="171" ht="15.75" customHeight="1">
      <c r="A171" s="4" t="s">
        <v>53</v>
      </c>
      <c r="B171" s="4" t="s">
        <v>218</v>
      </c>
      <c r="C171" s="4" t="s">
        <v>219</v>
      </c>
      <c r="D171" s="4" t="s">
        <v>194</v>
      </c>
      <c r="E171" s="4" t="s">
        <v>484</v>
      </c>
      <c r="F171" s="14">
        <v>0.5</v>
      </c>
      <c r="G171" s="40">
        <v>46113.0</v>
      </c>
    </row>
    <row r="172" ht="15.75" customHeight="1">
      <c r="A172" s="4" t="s">
        <v>53</v>
      </c>
      <c r="B172" s="4" t="s">
        <v>218</v>
      </c>
      <c r="C172" s="4" t="s">
        <v>219</v>
      </c>
      <c r="D172" s="4" t="s">
        <v>273</v>
      </c>
      <c r="E172" s="4" t="s">
        <v>485</v>
      </c>
      <c r="F172" s="14">
        <v>1.0</v>
      </c>
      <c r="G172" s="40">
        <v>46113.0</v>
      </c>
    </row>
    <row r="173" ht="15.75" customHeight="1">
      <c r="A173" s="4" t="s">
        <v>53</v>
      </c>
      <c r="B173" s="4" t="s">
        <v>218</v>
      </c>
      <c r="C173" s="4" t="s">
        <v>219</v>
      </c>
      <c r="D173" s="4" t="s">
        <v>273</v>
      </c>
      <c r="E173" s="4" t="s">
        <v>486</v>
      </c>
      <c r="F173" s="14">
        <v>1.0</v>
      </c>
      <c r="G173" s="40">
        <v>46113.0</v>
      </c>
    </row>
    <row r="174" ht="15.75" customHeight="1">
      <c r="A174" s="4" t="s">
        <v>53</v>
      </c>
      <c r="B174" s="4" t="s">
        <v>218</v>
      </c>
      <c r="C174" s="4" t="s">
        <v>219</v>
      </c>
      <c r="D174" s="4" t="s">
        <v>283</v>
      </c>
      <c r="E174" s="4" t="s">
        <v>487</v>
      </c>
      <c r="F174" s="14">
        <v>1.5</v>
      </c>
      <c r="G174" s="40">
        <v>46113.0</v>
      </c>
    </row>
    <row r="175" ht="15.75" customHeight="1">
      <c r="A175" s="4" t="s">
        <v>53</v>
      </c>
      <c r="B175" s="4" t="s">
        <v>218</v>
      </c>
      <c r="C175" s="4" t="s">
        <v>219</v>
      </c>
      <c r="D175" s="4" t="s">
        <v>194</v>
      </c>
      <c r="E175" s="4" t="s">
        <v>488</v>
      </c>
      <c r="F175" s="14">
        <v>0.5</v>
      </c>
      <c r="G175" s="40">
        <v>46113.0</v>
      </c>
    </row>
    <row r="176" ht="15.75" customHeight="1">
      <c r="A176" s="4" t="s">
        <v>53</v>
      </c>
      <c r="B176" s="4" t="s">
        <v>218</v>
      </c>
      <c r="C176" s="4" t="s">
        <v>219</v>
      </c>
      <c r="D176" s="4" t="s">
        <v>273</v>
      </c>
      <c r="E176" s="4" t="s">
        <v>489</v>
      </c>
      <c r="F176" s="14">
        <v>1.0</v>
      </c>
      <c r="G176" s="40">
        <v>46113.0</v>
      </c>
    </row>
    <row r="177" ht="15.75" customHeight="1">
      <c r="A177" s="4" t="s">
        <v>53</v>
      </c>
      <c r="B177" s="4" t="s">
        <v>218</v>
      </c>
      <c r="C177" s="4" t="s">
        <v>219</v>
      </c>
      <c r="D177" s="4" t="s">
        <v>273</v>
      </c>
      <c r="E177" s="4" t="s">
        <v>490</v>
      </c>
      <c r="F177" s="14">
        <v>1.0</v>
      </c>
      <c r="G177" s="40">
        <v>46113.0</v>
      </c>
    </row>
    <row r="178" ht="15.75" customHeight="1">
      <c r="A178" s="4" t="s">
        <v>53</v>
      </c>
      <c r="B178" s="4" t="s">
        <v>218</v>
      </c>
      <c r="C178" s="4" t="s">
        <v>219</v>
      </c>
      <c r="D178" s="4" t="s">
        <v>194</v>
      </c>
      <c r="E178" s="4" t="s">
        <v>491</v>
      </c>
      <c r="F178" s="14">
        <v>0.5</v>
      </c>
      <c r="G178" s="40">
        <v>46143.0</v>
      </c>
    </row>
    <row r="179" ht="15.75" customHeight="1">
      <c r="A179" s="4" t="s">
        <v>53</v>
      </c>
      <c r="B179" s="4" t="s">
        <v>218</v>
      </c>
      <c r="C179" s="4" t="s">
        <v>219</v>
      </c>
      <c r="D179" s="4" t="s">
        <v>273</v>
      </c>
      <c r="E179" s="4" t="s">
        <v>492</v>
      </c>
      <c r="F179" s="14">
        <v>1.0</v>
      </c>
      <c r="G179" s="40">
        <v>46143.0</v>
      </c>
    </row>
    <row r="180" ht="15.75" customHeight="1">
      <c r="A180" s="4" t="s">
        <v>53</v>
      </c>
      <c r="B180" s="4" t="s">
        <v>218</v>
      </c>
      <c r="C180" s="4" t="s">
        <v>219</v>
      </c>
      <c r="D180" s="4" t="s">
        <v>273</v>
      </c>
      <c r="E180" s="4" t="s">
        <v>493</v>
      </c>
      <c r="F180" s="14">
        <v>1.0</v>
      </c>
      <c r="G180" s="40">
        <v>46143.0</v>
      </c>
    </row>
    <row r="181" ht="15.75" customHeight="1">
      <c r="A181" s="4" t="s">
        <v>53</v>
      </c>
      <c r="B181" s="4" t="s">
        <v>218</v>
      </c>
      <c r="C181" s="4" t="s">
        <v>219</v>
      </c>
      <c r="D181" s="4" t="s">
        <v>273</v>
      </c>
      <c r="E181" s="4" t="s">
        <v>494</v>
      </c>
      <c r="F181" s="14">
        <v>1.0</v>
      </c>
      <c r="G181" s="40">
        <v>46143.0</v>
      </c>
    </row>
    <row r="182" ht="15.75" customHeight="1">
      <c r="A182" s="4" t="s">
        <v>53</v>
      </c>
      <c r="B182" s="4" t="s">
        <v>218</v>
      </c>
      <c r="C182" s="4" t="s">
        <v>219</v>
      </c>
      <c r="D182" s="4" t="s">
        <v>194</v>
      </c>
      <c r="E182" s="4" t="s">
        <v>495</v>
      </c>
      <c r="F182" s="14">
        <v>0.5</v>
      </c>
      <c r="G182" s="40">
        <v>46143.0</v>
      </c>
    </row>
    <row r="183" ht="15.75" customHeight="1">
      <c r="A183" s="4" t="s">
        <v>53</v>
      </c>
      <c r="B183" s="4" t="s">
        <v>218</v>
      </c>
      <c r="C183" s="4" t="s">
        <v>219</v>
      </c>
      <c r="D183" s="4" t="s">
        <v>273</v>
      </c>
      <c r="E183" s="4" t="s">
        <v>496</v>
      </c>
      <c r="F183" s="14">
        <v>1.0</v>
      </c>
      <c r="G183" s="40">
        <v>46143.0</v>
      </c>
    </row>
    <row r="184" ht="15.75" customHeight="1">
      <c r="A184" s="4" t="s">
        <v>53</v>
      </c>
      <c r="B184" s="4" t="s">
        <v>218</v>
      </c>
      <c r="C184" s="4" t="s">
        <v>219</v>
      </c>
      <c r="D184" s="4" t="s">
        <v>273</v>
      </c>
      <c r="E184" s="4" t="s">
        <v>497</v>
      </c>
      <c r="F184" s="14">
        <v>1.0</v>
      </c>
      <c r="G184" s="40">
        <v>46143.0</v>
      </c>
    </row>
    <row r="185" ht="15.75" customHeight="1">
      <c r="A185" s="4" t="s">
        <v>53</v>
      </c>
      <c r="B185" s="4" t="s">
        <v>212</v>
      </c>
      <c r="C185" s="4" t="s">
        <v>216</v>
      </c>
      <c r="D185" s="4" t="s">
        <v>273</v>
      </c>
      <c r="E185" s="4" t="s">
        <v>498</v>
      </c>
      <c r="F185" s="14">
        <v>1.0</v>
      </c>
      <c r="G185" s="40">
        <v>46023.0</v>
      </c>
    </row>
    <row r="186" ht="15.75" customHeight="1">
      <c r="A186" s="4" t="s">
        <v>53</v>
      </c>
      <c r="B186" s="4" t="s">
        <v>212</v>
      </c>
      <c r="C186" s="4" t="s">
        <v>216</v>
      </c>
      <c r="D186" s="4" t="s">
        <v>273</v>
      </c>
      <c r="E186" s="4" t="s">
        <v>499</v>
      </c>
      <c r="F186" s="14">
        <v>1.0</v>
      </c>
      <c r="G186" s="40">
        <v>46023.0</v>
      </c>
    </row>
    <row r="187" ht="15.75" customHeight="1">
      <c r="A187" s="4" t="s">
        <v>53</v>
      </c>
      <c r="B187" s="4" t="s">
        <v>212</v>
      </c>
      <c r="C187" s="4" t="s">
        <v>216</v>
      </c>
      <c r="D187" s="4" t="s">
        <v>273</v>
      </c>
      <c r="E187" s="4" t="s">
        <v>500</v>
      </c>
      <c r="F187" s="14">
        <v>1.0</v>
      </c>
      <c r="G187" s="40">
        <v>46023.0</v>
      </c>
    </row>
    <row r="188" ht="15.75" customHeight="1">
      <c r="A188" s="4" t="s">
        <v>53</v>
      </c>
      <c r="B188" s="4" t="s">
        <v>212</v>
      </c>
      <c r="C188" s="4" t="s">
        <v>216</v>
      </c>
      <c r="D188" s="4" t="s">
        <v>194</v>
      </c>
      <c r="E188" s="4" t="s">
        <v>501</v>
      </c>
      <c r="F188" s="14">
        <v>0.5</v>
      </c>
      <c r="G188" s="40">
        <v>46023.0</v>
      </c>
    </row>
    <row r="189" ht="15.75" customHeight="1">
      <c r="A189" s="4" t="s">
        <v>53</v>
      </c>
      <c r="B189" s="4" t="s">
        <v>212</v>
      </c>
      <c r="C189" s="4" t="s">
        <v>216</v>
      </c>
      <c r="D189" s="4" t="s">
        <v>273</v>
      </c>
      <c r="E189" s="4" t="s">
        <v>502</v>
      </c>
      <c r="F189" s="14">
        <v>1.0</v>
      </c>
      <c r="G189" s="40">
        <v>46023.0</v>
      </c>
    </row>
    <row r="190" ht="15.75" customHeight="1">
      <c r="A190" s="4" t="s">
        <v>53</v>
      </c>
      <c r="B190" s="4" t="s">
        <v>212</v>
      </c>
      <c r="C190" s="4" t="s">
        <v>216</v>
      </c>
      <c r="D190" s="4" t="s">
        <v>273</v>
      </c>
      <c r="E190" s="4" t="s">
        <v>503</v>
      </c>
      <c r="F190" s="14">
        <v>1.0</v>
      </c>
      <c r="G190" s="40">
        <v>46023.0</v>
      </c>
    </row>
    <row r="191" ht="15.75" customHeight="1">
      <c r="A191" s="4" t="s">
        <v>53</v>
      </c>
      <c r="B191" s="4" t="s">
        <v>212</v>
      </c>
      <c r="C191" s="4" t="s">
        <v>216</v>
      </c>
      <c r="D191" s="4" t="s">
        <v>273</v>
      </c>
      <c r="E191" s="4" t="s">
        <v>504</v>
      </c>
      <c r="F191" s="14">
        <v>1.0</v>
      </c>
      <c r="G191" s="40">
        <v>46023.0</v>
      </c>
    </row>
    <row r="192" ht="15.75" customHeight="1">
      <c r="A192" s="4" t="s">
        <v>53</v>
      </c>
      <c r="B192" s="4" t="s">
        <v>212</v>
      </c>
      <c r="C192" s="4" t="s">
        <v>216</v>
      </c>
      <c r="D192" s="4" t="s">
        <v>283</v>
      </c>
      <c r="E192" s="4" t="s">
        <v>505</v>
      </c>
      <c r="F192" s="14">
        <v>1.5</v>
      </c>
      <c r="G192" s="40">
        <v>46023.0</v>
      </c>
    </row>
    <row r="193" ht="15.75" customHeight="1">
      <c r="A193" s="4" t="s">
        <v>53</v>
      </c>
      <c r="B193" s="4" t="s">
        <v>212</v>
      </c>
      <c r="C193" s="4" t="s">
        <v>216</v>
      </c>
      <c r="D193" s="4" t="s">
        <v>273</v>
      </c>
      <c r="E193" s="4" t="s">
        <v>506</v>
      </c>
      <c r="F193" s="14">
        <v>1.0</v>
      </c>
      <c r="G193" s="40">
        <v>46023.0</v>
      </c>
    </row>
    <row r="194" ht="15.75" customHeight="1">
      <c r="A194" s="4" t="s">
        <v>53</v>
      </c>
      <c r="B194" s="4" t="s">
        <v>212</v>
      </c>
      <c r="C194" s="4" t="s">
        <v>216</v>
      </c>
      <c r="D194" s="4" t="s">
        <v>194</v>
      </c>
      <c r="E194" s="4" t="s">
        <v>507</v>
      </c>
      <c r="F194" s="14">
        <v>0.5</v>
      </c>
      <c r="G194" s="40">
        <v>46023.0</v>
      </c>
    </row>
    <row r="195" ht="15.75" customHeight="1">
      <c r="A195" s="4" t="s">
        <v>53</v>
      </c>
      <c r="B195" s="4" t="s">
        <v>212</v>
      </c>
      <c r="C195" s="4" t="s">
        <v>216</v>
      </c>
      <c r="D195" s="4" t="s">
        <v>283</v>
      </c>
      <c r="E195" s="4" t="s">
        <v>508</v>
      </c>
      <c r="F195" s="14">
        <v>1.5</v>
      </c>
      <c r="G195" s="40">
        <v>46054.0</v>
      </c>
    </row>
    <row r="196" ht="15.75" customHeight="1">
      <c r="A196" s="4" t="s">
        <v>53</v>
      </c>
      <c r="B196" s="4" t="s">
        <v>212</v>
      </c>
      <c r="C196" s="4" t="s">
        <v>216</v>
      </c>
      <c r="D196" s="4" t="s">
        <v>273</v>
      </c>
      <c r="E196" s="4" t="s">
        <v>509</v>
      </c>
      <c r="F196" s="14">
        <v>1.0</v>
      </c>
      <c r="G196" s="40">
        <v>46054.0</v>
      </c>
    </row>
    <row r="197" ht="15.75" customHeight="1">
      <c r="A197" s="4" t="s">
        <v>53</v>
      </c>
      <c r="B197" s="4" t="s">
        <v>212</v>
      </c>
      <c r="C197" s="4" t="s">
        <v>216</v>
      </c>
      <c r="D197" s="4" t="s">
        <v>273</v>
      </c>
      <c r="E197" s="4" t="s">
        <v>510</v>
      </c>
      <c r="F197" s="14">
        <v>1.0</v>
      </c>
      <c r="G197" s="40">
        <v>46054.0</v>
      </c>
    </row>
    <row r="198" ht="15.75" customHeight="1">
      <c r="A198" s="4" t="s">
        <v>53</v>
      </c>
      <c r="B198" s="4" t="s">
        <v>212</v>
      </c>
      <c r="C198" s="4" t="s">
        <v>216</v>
      </c>
      <c r="D198" s="4" t="s">
        <v>273</v>
      </c>
      <c r="E198" s="4" t="s">
        <v>511</v>
      </c>
      <c r="F198" s="14">
        <v>1.0</v>
      </c>
      <c r="G198" s="40">
        <v>46054.0</v>
      </c>
    </row>
    <row r="199" ht="15.75" customHeight="1">
      <c r="A199" s="4" t="s">
        <v>53</v>
      </c>
      <c r="B199" s="4" t="s">
        <v>212</v>
      </c>
      <c r="C199" s="4" t="s">
        <v>216</v>
      </c>
      <c r="D199" s="4" t="s">
        <v>194</v>
      </c>
      <c r="E199" s="4" t="s">
        <v>512</v>
      </c>
      <c r="F199" s="14">
        <v>0.5</v>
      </c>
      <c r="G199" s="40">
        <v>46054.0</v>
      </c>
    </row>
    <row r="200" ht="15.75" customHeight="1">
      <c r="A200" s="4" t="s">
        <v>53</v>
      </c>
      <c r="B200" s="4" t="s">
        <v>212</v>
      </c>
      <c r="C200" s="4" t="s">
        <v>216</v>
      </c>
      <c r="D200" s="4" t="s">
        <v>194</v>
      </c>
      <c r="E200" s="4" t="s">
        <v>513</v>
      </c>
      <c r="F200" s="14">
        <v>0.5</v>
      </c>
      <c r="G200" s="40">
        <v>46082.0</v>
      </c>
    </row>
    <row r="201" ht="15.75" customHeight="1">
      <c r="A201" s="4" t="s">
        <v>53</v>
      </c>
      <c r="B201" s="4" t="s">
        <v>212</v>
      </c>
      <c r="C201" s="4" t="s">
        <v>216</v>
      </c>
      <c r="D201" s="4" t="s">
        <v>283</v>
      </c>
      <c r="E201" s="4" t="s">
        <v>514</v>
      </c>
      <c r="F201" s="14">
        <v>1.5</v>
      </c>
      <c r="G201" s="40">
        <v>46082.0</v>
      </c>
    </row>
    <row r="202" ht="15.75" customHeight="1">
      <c r="A202" s="4" t="s">
        <v>53</v>
      </c>
      <c r="B202" s="4" t="s">
        <v>212</v>
      </c>
      <c r="C202" s="4" t="s">
        <v>216</v>
      </c>
      <c r="D202" s="4" t="s">
        <v>273</v>
      </c>
      <c r="E202" s="4" t="s">
        <v>515</v>
      </c>
      <c r="F202" s="14">
        <v>1.0</v>
      </c>
      <c r="G202" s="40">
        <v>46082.0</v>
      </c>
    </row>
    <row r="203" ht="15.75" customHeight="1">
      <c r="A203" s="4" t="s">
        <v>53</v>
      </c>
      <c r="B203" s="4" t="s">
        <v>212</v>
      </c>
      <c r="C203" s="4" t="s">
        <v>216</v>
      </c>
      <c r="D203" s="4" t="s">
        <v>273</v>
      </c>
      <c r="E203" s="4" t="s">
        <v>516</v>
      </c>
      <c r="F203" s="14">
        <v>1.0</v>
      </c>
      <c r="G203" s="40">
        <v>46082.0</v>
      </c>
    </row>
    <row r="204" ht="15.75" customHeight="1">
      <c r="A204" s="4" t="s">
        <v>53</v>
      </c>
      <c r="B204" s="4" t="s">
        <v>212</v>
      </c>
      <c r="C204" s="4" t="s">
        <v>216</v>
      </c>
      <c r="D204" s="4" t="s">
        <v>273</v>
      </c>
      <c r="E204" s="4" t="s">
        <v>517</v>
      </c>
      <c r="F204" s="14">
        <v>1.0</v>
      </c>
      <c r="G204" s="40">
        <v>46082.0</v>
      </c>
    </row>
    <row r="205" ht="15.75" customHeight="1">
      <c r="A205" s="4" t="s">
        <v>53</v>
      </c>
      <c r="B205" s="4" t="s">
        <v>212</v>
      </c>
      <c r="C205" s="4" t="s">
        <v>216</v>
      </c>
      <c r="D205" s="4" t="s">
        <v>194</v>
      </c>
      <c r="E205" s="4" t="s">
        <v>518</v>
      </c>
      <c r="F205" s="14">
        <v>0.5</v>
      </c>
      <c r="G205" s="40">
        <v>46082.0</v>
      </c>
    </row>
    <row r="206" ht="15.75" customHeight="1">
      <c r="A206" s="4" t="s">
        <v>53</v>
      </c>
      <c r="B206" s="4" t="s">
        <v>212</v>
      </c>
      <c r="C206" s="4" t="s">
        <v>216</v>
      </c>
      <c r="D206" s="4" t="s">
        <v>273</v>
      </c>
      <c r="E206" s="4" t="s">
        <v>519</v>
      </c>
      <c r="F206" s="14">
        <v>1.0</v>
      </c>
      <c r="G206" s="40">
        <v>46113.0</v>
      </c>
    </row>
    <row r="207" ht="15.75" customHeight="1">
      <c r="A207" s="4" t="s">
        <v>53</v>
      </c>
      <c r="B207" s="4" t="s">
        <v>212</v>
      </c>
      <c r="C207" s="4" t="s">
        <v>216</v>
      </c>
      <c r="D207" s="4" t="s">
        <v>363</v>
      </c>
      <c r="E207" s="4" t="s">
        <v>520</v>
      </c>
      <c r="F207" s="14">
        <v>2.0</v>
      </c>
      <c r="G207" s="40">
        <v>46143.0</v>
      </c>
    </row>
    <row r="208" ht="15.75" customHeight="1">
      <c r="A208" s="4" t="s">
        <v>53</v>
      </c>
      <c r="B208" s="4" t="s">
        <v>212</v>
      </c>
      <c r="C208" s="4" t="s">
        <v>216</v>
      </c>
      <c r="D208" s="4" t="s">
        <v>363</v>
      </c>
      <c r="E208" s="4" t="s">
        <v>521</v>
      </c>
      <c r="F208" s="14">
        <v>2.0</v>
      </c>
      <c r="G208" s="40">
        <v>46143.0</v>
      </c>
    </row>
    <row r="209" ht="15.75" customHeight="1">
      <c r="A209" s="4" t="s">
        <v>53</v>
      </c>
      <c r="B209" s="4" t="s">
        <v>522</v>
      </c>
      <c r="C209" s="4" t="s">
        <v>523</v>
      </c>
      <c r="D209" s="4" t="s">
        <v>283</v>
      </c>
      <c r="E209" s="4" t="s">
        <v>524</v>
      </c>
      <c r="F209" s="14">
        <v>1.5</v>
      </c>
      <c r="G209" s="40">
        <v>46023.0</v>
      </c>
    </row>
    <row r="210" ht="15.75" customHeight="1">
      <c r="A210" s="4" t="s">
        <v>53</v>
      </c>
      <c r="B210" s="4" t="s">
        <v>522</v>
      </c>
      <c r="C210" s="4" t="s">
        <v>523</v>
      </c>
      <c r="D210" s="4" t="s">
        <v>194</v>
      </c>
      <c r="E210" s="4" t="s">
        <v>525</v>
      </c>
      <c r="F210" s="14">
        <v>0.5</v>
      </c>
      <c r="G210" s="40">
        <v>46023.0</v>
      </c>
    </row>
    <row r="211" ht="15.75" customHeight="1">
      <c r="A211" s="4" t="s">
        <v>53</v>
      </c>
      <c r="B211" s="4" t="s">
        <v>522</v>
      </c>
      <c r="C211" s="4" t="s">
        <v>523</v>
      </c>
      <c r="D211" s="4" t="s">
        <v>273</v>
      </c>
      <c r="E211" s="4" t="s">
        <v>526</v>
      </c>
      <c r="F211" s="14">
        <v>1.0</v>
      </c>
      <c r="G211" s="40">
        <v>46054.0</v>
      </c>
    </row>
    <row r="212" ht="15.75" customHeight="1">
      <c r="A212" s="4" t="s">
        <v>53</v>
      </c>
      <c r="B212" s="4" t="s">
        <v>522</v>
      </c>
      <c r="C212" s="4" t="s">
        <v>523</v>
      </c>
      <c r="D212" s="4" t="s">
        <v>273</v>
      </c>
      <c r="E212" s="4" t="s">
        <v>527</v>
      </c>
      <c r="F212" s="14">
        <v>1.0</v>
      </c>
      <c r="G212" s="40">
        <v>46054.0</v>
      </c>
    </row>
    <row r="213" ht="15.75" customHeight="1">
      <c r="A213" s="4" t="s">
        <v>53</v>
      </c>
      <c r="B213" s="4" t="s">
        <v>522</v>
      </c>
      <c r="C213" s="4" t="s">
        <v>523</v>
      </c>
      <c r="D213" s="4" t="s">
        <v>363</v>
      </c>
      <c r="E213" s="4" t="s">
        <v>528</v>
      </c>
      <c r="F213" s="14">
        <v>2.0</v>
      </c>
      <c r="G213" s="40">
        <v>46054.0</v>
      </c>
    </row>
    <row r="214" ht="15.75" customHeight="1">
      <c r="A214" s="4" t="s">
        <v>53</v>
      </c>
      <c r="B214" s="4" t="s">
        <v>522</v>
      </c>
      <c r="C214" s="4" t="s">
        <v>523</v>
      </c>
      <c r="D214" s="4" t="s">
        <v>363</v>
      </c>
      <c r="E214" s="4" t="s">
        <v>529</v>
      </c>
      <c r="F214" s="14">
        <v>2.0</v>
      </c>
      <c r="G214" s="40">
        <v>46054.0</v>
      </c>
    </row>
    <row r="215" ht="15.75" customHeight="1">
      <c r="A215" s="4" t="s">
        <v>53</v>
      </c>
      <c r="B215" s="4" t="s">
        <v>522</v>
      </c>
      <c r="C215" s="4" t="s">
        <v>523</v>
      </c>
      <c r="D215" s="4" t="s">
        <v>194</v>
      </c>
      <c r="E215" s="4" t="s">
        <v>530</v>
      </c>
      <c r="F215" s="14">
        <v>0.5</v>
      </c>
      <c r="G215" s="40">
        <v>46054.0</v>
      </c>
    </row>
    <row r="216" ht="15.75" customHeight="1">
      <c r="A216" s="4" t="s">
        <v>53</v>
      </c>
      <c r="B216" s="4" t="s">
        <v>522</v>
      </c>
      <c r="C216" s="4" t="s">
        <v>523</v>
      </c>
      <c r="D216" s="4" t="s">
        <v>441</v>
      </c>
      <c r="E216" s="4" t="s">
        <v>531</v>
      </c>
      <c r="F216" s="14">
        <v>1.25</v>
      </c>
      <c r="G216" s="40">
        <v>46054.0</v>
      </c>
    </row>
    <row r="217" ht="15.75" customHeight="1">
      <c r="A217" s="4" t="s">
        <v>53</v>
      </c>
      <c r="B217" s="4" t="s">
        <v>522</v>
      </c>
      <c r="C217" s="4" t="s">
        <v>523</v>
      </c>
      <c r="D217" s="4" t="s">
        <v>194</v>
      </c>
      <c r="E217" s="4" t="s">
        <v>532</v>
      </c>
      <c r="F217" s="14">
        <v>0.5</v>
      </c>
      <c r="G217" s="40">
        <v>46054.0</v>
      </c>
    </row>
    <row r="218" ht="15.75" customHeight="1">
      <c r="A218" s="4" t="s">
        <v>53</v>
      </c>
      <c r="B218" s="4" t="s">
        <v>522</v>
      </c>
      <c r="C218" s="4" t="s">
        <v>523</v>
      </c>
      <c r="D218" s="4" t="s">
        <v>194</v>
      </c>
      <c r="E218" s="4" t="s">
        <v>533</v>
      </c>
      <c r="F218" s="14">
        <v>0.5</v>
      </c>
      <c r="G218" s="40">
        <v>46054.0</v>
      </c>
    </row>
    <row r="219" ht="15.75" customHeight="1">
      <c r="A219" s="4" t="s">
        <v>53</v>
      </c>
      <c r="B219" s="4" t="s">
        <v>522</v>
      </c>
      <c r="C219" s="4" t="s">
        <v>523</v>
      </c>
      <c r="D219" s="4" t="s">
        <v>194</v>
      </c>
      <c r="E219" s="4" t="s">
        <v>534</v>
      </c>
      <c r="F219" s="14">
        <v>0.5</v>
      </c>
      <c r="G219" s="40">
        <v>46054.0</v>
      </c>
    </row>
    <row r="220" ht="15.75" customHeight="1">
      <c r="A220" s="4" t="s">
        <v>53</v>
      </c>
      <c r="B220" s="4" t="s">
        <v>208</v>
      </c>
      <c r="C220" s="4" t="s">
        <v>209</v>
      </c>
      <c r="D220" s="4" t="s">
        <v>194</v>
      </c>
      <c r="E220" s="4" t="s">
        <v>535</v>
      </c>
      <c r="F220" s="14">
        <v>0.5</v>
      </c>
      <c r="G220" s="40">
        <v>46023.0</v>
      </c>
    </row>
    <row r="221" ht="15.75" customHeight="1">
      <c r="A221" s="4" t="s">
        <v>53</v>
      </c>
      <c r="B221" s="4" t="s">
        <v>208</v>
      </c>
      <c r="C221" s="4" t="s">
        <v>209</v>
      </c>
      <c r="D221" s="4" t="s">
        <v>194</v>
      </c>
      <c r="E221" s="4" t="s">
        <v>536</v>
      </c>
      <c r="F221" s="14">
        <v>0.5</v>
      </c>
      <c r="G221" s="40">
        <v>46023.0</v>
      </c>
    </row>
    <row r="222" ht="15.75" customHeight="1">
      <c r="A222" s="4" t="s">
        <v>53</v>
      </c>
      <c r="B222" s="4" t="s">
        <v>208</v>
      </c>
      <c r="C222" s="4" t="s">
        <v>209</v>
      </c>
      <c r="D222" s="4" t="s">
        <v>194</v>
      </c>
      <c r="E222" s="4" t="s">
        <v>537</v>
      </c>
      <c r="F222" s="14">
        <v>0.5</v>
      </c>
      <c r="G222" s="40">
        <v>46023.0</v>
      </c>
    </row>
    <row r="223" ht="15.75" customHeight="1">
      <c r="A223" s="4" t="s">
        <v>53</v>
      </c>
      <c r="B223" s="4" t="s">
        <v>208</v>
      </c>
      <c r="C223" s="4" t="s">
        <v>209</v>
      </c>
      <c r="D223" s="4" t="s">
        <v>194</v>
      </c>
      <c r="E223" s="4" t="s">
        <v>538</v>
      </c>
      <c r="F223" s="14">
        <v>0.5</v>
      </c>
      <c r="G223" s="40">
        <v>46023.0</v>
      </c>
    </row>
    <row r="224" ht="15.75" customHeight="1">
      <c r="A224" s="4" t="s">
        <v>53</v>
      </c>
      <c r="B224" s="4" t="s">
        <v>208</v>
      </c>
      <c r="C224" s="4" t="s">
        <v>209</v>
      </c>
      <c r="D224" s="4" t="s">
        <v>194</v>
      </c>
      <c r="E224" s="4" t="s">
        <v>539</v>
      </c>
      <c r="F224" s="14">
        <v>0.5</v>
      </c>
      <c r="G224" s="40">
        <v>46023.0</v>
      </c>
    </row>
    <row r="225" ht="15.75" customHeight="1">
      <c r="A225" s="4" t="s">
        <v>53</v>
      </c>
      <c r="B225" s="4" t="s">
        <v>208</v>
      </c>
      <c r="C225" s="4" t="s">
        <v>209</v>
      </c>
      <c r="D225" s="4" t="s">
        <v>283</v>
      </c>
      <c r="E225" s="4" t="s">
        <v>540</v>
      </c>
      <c r="F225" s="14">
        <v>1.5</v>
      </c>
      <c r="G225" s="40">
        <v>46023.0</v>
      </c>
    </row>
    <row r="226" ht="15.75" customHeight="1">
      <c r="A226" s="4" t="s">
        <v>53</v>
      </c>
      <c r="B226" s="4" t="s">
        <v>208</v>
      </c>
      <c r="C226" s="4" t="s">
        <v>209</v>
      </c>
      <c r="D226" s="4" t="s">
        <v>194</v>
      </c>
      <c r="E226" s="4" t="s">
        <v>541</v>
      </c>
      <c r="F226" s="14">
        <v>0.5</v>
      </c>
      <c r="G226" s="40">
        <v>46023.0</v>
      </c>
    </row>
    <row r="227" ht="15.75" customHeight="1">
      <c r="A227" s="4" t="s">
        <v>53</v>
      </c>
      <c r="B227" s="4" t="s">
        <v>208</v>
      </c>
      <c r="C227" s="4" t="s">
        <v>209</v>
      </c>
      <c r="D227" s="4" t="s">
        <v>194</v>
      </c>
      <c r="E227" s="4" t="s">
        <v>542</v>
      </c>
      <c r="F227" s="14">
        <v>0.5</v>
      </c>
      <c r="G227" s="40">
        <v>46023.0</v>
      </c>
    </row>
    <row r="228" ht="15.75" customHeight="1">
      <c r="A228" s="4" t="s">
        <v>53</v>
      </c>
      <c r="B228" s="4" t="s">
        <v>208</v>
      </c>
      <c r="C228" s="4" t="s">
        <v>209</v>
      </c>
      <c r="D228" s="4" t="s">
        <v>273</v>
      </c>
      <c r="E228" s="4" t="s">
        <v>543</v>
      </c>
      <c r="F228" s="14">
        <v>1.0</v>
      </c>
      <c r="G228" s="40">
        <v>46023.0</v>
      </c>
    </row>
    <row r="229" ht="15.75" customHeight="1">
      <c r="A229" s="4" t="s">
        <v>53</v>
      </c>
      <c r="B229" s="4" t="s">
        <v>208</v>
      </c>
      <c r="C229" s="4" t="s">
        <v>209</v>
      </c>
      <c r="D229" s="4" t="s">
        <v>194</v>
      </c>
      <c r="E229" s="4" t="s">
        <v>544</v>
      </c>
      <c r="F229" s="14">
        <v>0.5</v>
      </c>
      <c r="G229" s="40">
        <v>46023.0</v>
      </c>
    </row>
    <row r="230" ht="15.75" customHeight="1">
      <c r="A230" s="4" t="s">
        <v>53</v>
      </c>
      <c r="B230" s="4" t="s">
        <v>208</v>
      </c>
      <c r="C230" s="4" t="s">
        <v>209</v>
      </c>
      <c r="D230" s="4" t="s">
        <v>194</v>
      </c>
      <c r="E230" s="4" t="s">
        <v>546</v>
      </c>
      <c r="F230" s="14">
        <v>0.5</v>
      </c>
      <c r="G230" s="40">
        <v>46054.0</v>
      </c>
    </row>
    <row r="231" ht="15.75" customHeight="1">
      <c r="A231" s="4" t="s">
        <v>53</v>
      </c>
      <c r="B231" s="4" t="s">
        <v>208</v>
      </c>
      <c r="C231" s="4" t="s">
        <v>209</v>
      </c>
      <c r="D231" s="4" t="s">
        <v>194</v>
      </c>
      <c r="E231" s="4" t="s">
        <v>547</v>
      </c>
      <c r="F231" s="14">
        <v>0.5</v>
      </c>
      <c r="G231" s="40">
        <v>46054.0</v>
      </c>
    </row>
    <row r="232" ht="15.75" customHeight="1">
      <c r="A232" s="4" t="s">
        <v>53</v>
      </c>
      <c r="B232" s="4" t="s">
        <v>208</v>
      </c>
      <c r="C232" s="4" t="s">
        <v>209</v>
      </c>
      <c r="D232" s="4" t="s">
        <v>194</v>
      </c>
      <c r="E232" s="4" t="s">
        <v>548</v>
      </c>
      <c r="F232" s="14">
        <v>0.5</v>
      </c>
      <c r="G232" s="40">
        <v>46054.0</v>
      </c>
    </row>
    <row r="233" ht="15.75" customHeight="1">
      <c r="A233" s="4" t="s">
        <v>53</v>
      </c>
      <c r="B233" s="4" t="s">
        <v>208</v>
      </c>
      <c r="C233" s="4" t="s">
        <v>209</v>
      </c>
      <c r="D233" s="4" t="s">
        <v>283</v>
      </c>
      <c r="E233" s="4" t="s">
        <v>549</v>
      </c>
      <c r="F233" s="14">
        <v>1.5</v>
      </c>
      <c r="G233" s="40">
        <v>46054.0</v>
      </c>
    </row>
    <row r="234" ht="15.75" customHeight="1">
      <c r="A234" s="4" t="s">
        <v>53</v>
      </c>
      <c r="B234" s="4" t="s">
        <v>208</v>
      </c>
      <c r="C234" s="4" t="s">
        <v>209</v>
      </c>
      <c r="D234" s="4" t="s">
        <v>194</v>
      </c>
      <c r="E234" s="4" t="s">
        <v>550</v>
      </c>
      <c r="F234" s="14">
        <v>0.5</v>
      </c>
      <c r="G234" s="40">
        <v>46054.0</v>
      </c>
    </row>
    <row r="235" ht="15.75" customHeight="1">
      <c r="A235" s="4" t="s">
        <v>53</v>
      </c>
      <c r="B235" s="4" t="s">
        <v>208</v>
      </c>
      <c r="C235" s="4" t="s">
        <v>209</v>
      </c>
      <c r="D235" s="4" t="s">
        <v>194</v>
      </c>
      <c r="E235" s="4" t="s">
        <v>551</v>
      </c>
      <c r="F235" s="14">
        <v>0.5</v>
      </c>
      <c r="G235" s="40">
        <v>46054.0</v>
      </c>
    </row>
    <row r="236" ht="15.75" customHeight="1">
      <c r="A236" s="4" t="s">
        <v>53</v>
      </c>
      <c r="B236" s="4" t="s">
        <v>208</v>
      </c>
      <c r="C236" s="4" t="s">
        <v>209</v>
      </c>
      <c r="D236" s="4" t="s">
        <v>194</v>
      </c>
      <c r="E236" s="4" t="s">
        <v>553</v>
      </c>
      <c r="F236" s="14">
        <v>0.5</v>
      </c>
      <c r="G236" s="40">
        <v>46054.0</v>
      </c>
    </row>
    <row r="237" ht="15.75" customHeight="1">
      <c r="A237" s="4" t="s">
        <v>53</v>
      </c>
      <c r="B237" s="4" t="s">
        <v>208</v>
      </c>
      <c r="C237" s="4" t="s">
        <v>209</v>
      </c>
      <c r="D237" s="4" t="s">
        <v>194</v>
      </c>
      <c r="E237" s="4" t="s">
        <v>554</v>
      </c>
      <c r="F237" s="14">
        <v>0.5</v>
      </c>
      <c r="G237" s="40">
        <v>46054.0</v>
      </c>
    </row>
    <row r="238" ht="15.75" customHeight="1">
      <c r="A238" s="4" t="s">
        <v>53</v>
      </c>
      <c r="B238" s="4" t="s">
        <v>208</v>
      </c>
      <c r="C238" s="4" t="s">
        <v>209</v>
      </c>
      <c r="D238" s="4" t="s">
        <v>273</v>
      </c>
      <c r="E238" s="4" t="s">
        <v>555</v>
      </c>
      <c r="F238" s="14">
        <v>1.0</v>
      </c>
      <c r="G238" s="40">
        <v>46054.0</v>
      </c>
    </row>
    <row r="239" ht="15.75" customHeight="1">
      <c r="A239" s="4" t="s">
        <v>53</v>
      </c>
      <c r="B239" s="4" t="s">
        <v>208</v>
      </c>
      <c r="C239" s="4" t="s">
        <v>209</v>
      </c>
      <c r="D239" s="4" t="s">
        <v>273</v>
      </c>
      <c r="E239" s="4" t="s">
        <v>556</v>
      </c>
      <c r="F239" s="14">
        <v>1.0</v>
      </c>
      <c r="G239" s="40">
        <v>46054.0</v>
      </c>
    </row>
    <row r="240" ht="15.75" customHeight="1">
      <c r="A240" s="4" t="s">
        <v>53</v>
      </c>
      <c r="B240" s="4" t="s">
        <v>208</v>
      </c>
      <c r="C240" s="4" t="s">
        <v>209</v>
      </c>
      <c r="D240" s="4" t="s">
        <v>273</v>
      </c>
      <c r="E240" s="4" t="s">
        <v>557</v>
      </c>
      <c r="F240" s="14">
        <v>1.0</v>
      </c>
      <c r="G240" s="40">
        <v>46054.0</v>
      </c>
    </row>
    <row r="241" ht="15.75" customHeight="1">
      <c r="A241" s="4" t="s">
        <v>53</v>
      </c>
      <c r="B241" s="4" t="s">
        <v>208</v>
      </c>
      <c r="C241" s="4" t="s">
        <v>209</v>
      </c>
      <c r="D241" s="4" t="s">
        <v>273</v>
      </c>
      <c r="E241" s="4" t="s">
        <v>559</v>
      </c>
      <c r="F241" s="14">
        <v>1.0</v>
      </c>
      <c r="G241" s="40">
        <v>46082.0</v>
      </c>
    </row>
    <row r="242" ht="15.75" customHeight="1">
      <c r="A242" s="4" t="s">
        <v>53</v>
      </c>
      <c r="B242" s="4" t="s">
        <v>208</v>
      </c>
      <c r="C242" s="4" t="s">
        <v>209</v>
      </c>
      <c r="D242" s="4" t="s">
        <v>283</v>
      </c>
      <c r="E242" s="4" t="s">
        <v>560</v>
      </c>
      <c r="F242" s="14">
        <v>1.5</v>
      </c>
      <c r="G242" s="40">
        <v>46082.0</v>
      </c>
    </row>
    <row r="243" ht="15.75" customHeight="1">
      <c r="A243" s="4" t="s">
        <v>53</v>
      </c>
      <c r="B243" s="4" t="s">
        <v>208</v>
      </c>
      <c r="C243" s="4" t="s">
        <v>209</v>
      </c>
      <c r="D243" s="4" t="s">
        <v>561</v>
      </c>
      <c r="E243" s="4" t="s">
        <v>562</v>
      </c>
      <c r="F243" s="14">
        <v>1.75</v>
      </c>
      <c r="G243" s="40">
        <v>46082.0</v>
      </c>
    </row>
    <row r="244" ht="15.75" customHeight="1">
      <c r="A244" s="4" t="s">
        <v>53</v>
      </c>
      <c r="B244" s="4" t="s">
        <v>208</v>
      </c>
      <c r="C244" s="4" t="s">
        <v>209</v>
      </c>
      <c r="D244" s="4" t="s">
        <v>273</v>
      </c>
      <c r="E244" s="4" t="s">
        <v>563</v>
      </c>
      <c r="F244" s="14">
        <v>1.0</v>
      </c>
      <c r="G244" s="40">
        <v>46082.0</v>
      </c>
    </row>
    <row r="245" ht="15.75" customHeight="1">
      <c r="A245" s="4" t="s">
        <v>53</v>
      </c>
      <c r="B245" s="4" t="s">
        <v>208</v>
      </c>
      <c r="C245" s="4" t="s">
        <v>209</v>
      </c>
      <c r="D245" s="4" t="s">
        <v>273</v>
      </c>
      <c r="E245" s="4" t="s">
        <v>564</v>
      </c>
      <c r="F245" s="14">
        <v>1.0</v>
      </c>
      <c r="G245" s="40">
        <v>46113.0</v>
      </c>
    </row>
    <row r="246" ht="15.75" customHeight="1">
      <c r="A246" s="4" t="s">
        <v>53</v>
      </c>
      <c r="B246" s="4" t="s">
        <v>208</v>
      </c>
      <c r="C246" s="4" t="s">
        <v>209</v>
      </c>
      <c r="D246" s="4" t="s">
        <v>283</v>
      </c>
      <c r="E246" s="4" t="s">
        <v>565</v>
      </c>
      <c r="F246" s="14">
        <v>1.5</v>
      </c>
      <c r="G246" s="40">
        <v>46143.0</v>
      </c>
    </row>
    <row r="247" ht="15.75" customHeight="1">
      <c r="A247" s="4" t="s">
        <v>53</v>
      </c>
      <c r="B247" s="4" t="s">
        <v>208</v>
      </c>
      <c r="C247" s="4" t="s">
        <v>209</v>
      </c>
      <c r="D247" s="4" t="s">
        <v>273</v>
      </c>
      <c r="E247" s="4" t="s">
        <v>566</v>
      </c>
      <c r="F247" s="14">
        <v>1.0</v>
      </c>
      <c r="G247" s="40">
        <v>46204.0</v>
      </c>
    </row>
    <row r="248" ht="15.75" customHeight="1">
      <c r="A248" s="4" t="s">
        <v>53</v>
      </c>
      <c r="B248" s="4" t="s">
        <v>208</v>
      </c>
      <c r="C248" s="4" t="s">
        <v>209</v>
      </c>
      <c r="D248" s="4" t="s">
        <v>273</v>
      </c>
      <c r="E248" s="4" t="s">
        <v>567</v>
      </c>
      <c r="F248" s="14">
        <v>1.0</v>
      </c>
      <c r="G248" s="40">
        <v>46204.0</v>
      </c>
    </row>
    <row r="249" ht="15.75" customHeight="1">
      <c r="A249" s="4" t="s">
        <v>53</v>
      </c>
      <c r="B249" s="4" t="s">
        <v>208</v>
      </c>
      <c r="C249" s="4" t="s">
        <v>209</v>
      </c>
      <c r="D249" s="4" t="s">
        <v>283</v>
      </c>
      <c r="E249" s="4" t="s">
        <v>568</v>
      </c>
      <c r="F249" s="14">
        <v>1.5</v>
      </c>
      <c r="G249" s="40">
        <v>46204.0</v>
      </c>
    </row>
    <row r="250" ht="15.75" customHeight="1">
      <c r="A250" s="4" t="s">
        <v>53</v>
      </c>
      <c r="B250" s="4" t="s">
        <v>208</v>
      </c>
      <c r="C250" s="4" t="s">
        <v>209</v>
      </c>
      <c r="D250" s="4" t="s">
        <v>273</v>
      </c>
      <c r="E250" s="4" t="s">
        <v>569</v>
      </c>
      <c r="F250" s="14">
        <v>1.0</v>
      </c>
      <c r="G250" s="40">
        <v>46204.0</v>
      </c>
    </row>
    <row r="251" ht="15.75" customHeight="1">
      <c r="A251" s="4" t="s">
        <v>53</v>
      </c>
      <c r="B251" s="4" t="s">
        <v>208</v>
      </c>
      <c r="C251" s="4" t="s">
        <v>209</v>
      </c>
      <c r="D251" s="4" t="s">
        <v>561</v>
      </c>
      <c r="E251" s="4" t="s">
        <v>570</v>
      </c>
      <c r="F251" s="14">
        <v>1.75</v>
      </c>
      <c r="G251" s="40">
        <v>46204.0</v>
      </c>
    </row>
    <row r="252" ht="15.75" customHeight="1">
      <c r="A252" s="4" t="s">
        <v>53</v>
      </c>
      <c r="B252" s="4" t="s">
        <v>208</v>
      </c>
      <c r="C252" s="4" t="s">
        <v>209</v>
      </c>
      <c r="D252" s="4" t="s">
        <v>283</v>
      </c>
      <c r="E252" s="4" t="s">
        <v>571</v>
      </c>
      <c r="F252" s="14">
        <v>1.5</v>
      </c>
      <c r="G252" s="40">
        <v>46204.0</v>
      </c>
    </row>
    <row r="253" ht="15.75" customHeight="1">
      <c r="A253" s="4" t="s">
        <v>53</v>
      </c>
      <c r="B253" s="4" t="s">
        <v>208</v>
      </c>
      <c r="C253" s="4" t="s">
        <v>209</v>
      </c>
      <c r="D253" s="4" t="s">
        <v>363</v>
      </c>
      <c r="E253" s="4" t="s">
        <v>572</v>
      </c>
      <c r="F253" s="14">
        <v>2.0</v>
      </c>
      <c r="G253" s="40">
        <v>46204.0</v>
      </c>
    </row>
    <row r="254" ht="15.75" customHeight="1">
      <c r="A254" s="4" t="s">
        <v>53</v>
      </c>
      <c r="B254" s="4" t="s">
        <v>208</v>
      </c>
      <c r="C254" s="4" t="s">
        <v>209</v>
      </c>
      <c r="D254" s="4" t="s">
        <v>194</v>
      </c>
      <c r="E254" s="4" t="s">
        <v>573</v>
      </c>
      <c r="F254" s="14">
        <v>0.5</v>
      </c>
      <c r="G254" s="40">
        <v>46204.0</v>
      </c>
    </row>
    <row r="255" ht="15.75" customHeight="1">
      <c r="A255" s="4" t="s">
        <v>53</v>
      </c>
      <c r="B255" s="4" t="s">
        <v>208</v>
      </c>
      <c r="C255" s="4" t="s">
        <v>209</v>
      </c>
      <c r="D255" s="4" t="s">
        <v>273</v>
      </c>
      <c r="E255" s="4" t="s">
        <v>574</v>
      </c>
      <c r="F255" s="14">
        <v>1.0</v>
      </c>
      <c r="G255" s="40">
        <v>46204.0</v>
      </c>
    </row>
    <row r="256" ht="15.75" customHeight="1">
      <c r="A256" s="4" t="s">
        <v>53</v>
      </c>
      <c r="B256" s="4" t="s">
        <v>208</v>
      </c>
      <c r="C256" s="4" t="s">
        <v>209</v>
      </c>
      <c r="D256" s="4" t="s">
        <v>273</v>
      </c>
      <c r="E256" s="4" t="s">
        <v>575</v>
      </c>
      <c r="F256" s="14">
        <v>1.0</v>
      </c>
      <c r="G256" s="40">
        <v>46204.0</v>
      </c>
    </row>
    <row r="257" ht="15.75" customHeight="1">
      <c r="A257" s="4" t="s">
        <v>53</v>
      </c>
      <c r="B257" s="4" t="s">
        <v>208</v>
      </c>
      <c r="C257" s="4" t="s">
        <v>209</v>
      </c>
      <c r="D257" s="4" t="s">
        <v>194</v>
      </c>
      <c r="E257" s="4" t="s">
        <v>576</v>
      </c>
      <c r="F257" s="14">
        <v>0.5</v>
      </c>
      <c r="G257" s="40">
        <v>46204.0</v>
      </c>
    </row>
    <row r="258" ht="15.75" customHeight="1">
      <c r="A258" s="4" t="s">
        <v>53</v>
      </c>
      <c r="B258" s="4" t="s">
        <v>208</v>
      </c>
      <c r="C258" s="4" t="s">
        <v>209</v>
      </c>
      <c r="D258" s="4" t="s">
        <v>273</v>
      </c>
      <c r="E258" s="4" t="s">
        <v>577</v>
      </c>
      <c r="F258" s="14">
        <v>1.0</v>
      </c>
      <c r="G258" s="40">
        <v>46204.0</v>
      </c>
    </row>
    <row r="259" ht="15.75" customHeight="1">
      <c r="A259" s="4" t="s">
        <v>53</v>
      </c>
      <c r="B259" s="4" t="s">
        <v>208</v>
      </c>
      <c r="C259" s="4" t="s">
        <v>209</v>
      </c>
      <c r="D259" s="4" t="s">
        <v>273</v>
      </c>
      <c r="E259" s="4" t="s">
        <v>578</v>
      </c>
      <c r="F259" s="14">
        <v>1.0</v>
      </c>
      <c r="G259" s="40">
        <v>46204.0</v>
      </c>
    </row>
    <row r="260" ht="15.75" customHeight="1">
      <c r="A260" s="4" t="s">
        <v>53</v>
      </c>
      <c r="B260" s="4" t="s">
        <v>208</v>
      </c>
      <c r="C260" s="4" t="s">
        <v>209</v>
      </c>
      <c r="D260" s="4" t="s">
        <v>273</v>
      </c>
      <c r="E260" s="4" t="s">
        <v>579</v>
      </c>
      <c r="F260" s="14">
        <v>1.0</v>
      </c>
      <c r="G260" s="40">
        <v>46204.0</v>
      </c>
    </row>
    <row r="261" ht="15.75" customHeight="1">
      <c r="A261" s="4" t="s">
        <v>53</v>
      </c>
      <c r="B261" s="4" t="s">
        <v>208</v>
      </c>
      <c r="C261" s="4" t="s">
        <v>209</v>
      </c>
      <c r="D261" s="4" t="s">
        <v>194</v>
      </c>
      <c r="E261" s="4" t="s">
        <v>580</v>
      </c>
      <c r="F261" s="14">
        <v>0.5</v>
      </c>
      <c r="G261" s="40">
        <v>46204.0</v>
      </c>
    </row>
    <row r="262" ht="15.75" customHeight="1">
      <c r="A262" s="4" t="s">
        <v>53</v>
      </c>
      <c r="B262" s="4" t="s">
        <v>208</v>
      </c>
      <c r="C262" s="4" t="s">
        <v>209</v>
      </c>
      <c r="D262" s="4" t="s">
        <v>273</v>
      </c>
      <c r="E262" s="4" t="s">
        <v>581</v>
      </c>
      <c r="F262" s="14">
        <v>1.0</v>
      </c>
      <c r="G262" s="40">
        <v>46204.0</v>
      </c>
    </row>
    <row r="263" ht="15.75" customHeight="1">
      <c r="A263" s="4" t="s">
        <v>53</v>
      </c>
      <c r="B263" s="4" t="s">
        <v>208</v>
      </c>
      <c r="C263" s="4" t="s">
        <v>209</v>
      </c>
      <c r="D263" s="4" t="s">
        <v>283</v>
      </c>
      <c r="E263" s="4" t="s">
        <v>582</v>
      </c>
      <c r="F263" s="14">
        <v>1.5</v>
      </c>
      <c r="G263" s="40">
        <v>46204.0</v>
      </c>
    </row>
    <row r="264" ht="15.75" customHeight="1">
      <c r="A264" s="4" t="s">
        <v>53</v>
      </c>
      <c r="B264" s="4" t="s">
        <v>208</v>
      </c>
      <c r="C264" s="4" t="s">
        <v>209</v>
      </c>
      <c r="D264" s="4" t="s">
        <v>273</v>
      </c>
      <c r="E264" s="4" t="s">
        <v>583</v>
      </c>
      <c r="F264" s="14">
        <v>1.0</v>
      </c>
      <c r="G264" s="40">
        <v>46204.0</v>
      </c>
    </row>
    <row r="265" ht="15.75" customHeight="1">
      <c r="A265" s="4" t="s">
        <v>53</v>
      </c>
      <c r="B265" s="4" t="s">
        <v>208</v>
      </c>
      <c r="C265" s="4" t="s">
        <v>209</v>
      </c>
      <c r="D265" s="4" t="s">
        <v>286</v>
      </c>
      <c r="E265" s="4" t="s">
        <v>584</v>
      </c>
      <c r="F265" s="14">
        <v>0.75</v>
      </c>
      <c r="G265" s="40">
        <v>46204.0</v>
      </c>
    </row>
    <row r="266" ht="15.75" customHeight="1">
      <c r="A266" s="4" t="s">
        <v>53</v>
      </c>
      <c r="B266" s="4" t="s">
        <v>208</v>
      </c>
      <c r="C266" s="4" t="s">
        <v>209</v>
      </c>
      <c r="D266" s="4" t="s">
        <v>273</v>
      </c>
      <c r="E266" s="4" t="s">
        <v>585</v>
      </c>
      <c r="F266" s="14">
        <v>1.0</v>
      </c>
      <c r="G266" s="40">
        <v>46204.0</v>
      </c>
    </row>
    <row r="267" ht="15.75" customHeight="1">
      <c r="A267" s="4" t="s">
        <v>53</v>
      </c>
      <c r="B267" s="4" t="s">
        <v>208</v>
      </c>
      <c r="C267" s="4" t="s">
        <v>209</v>
      </c>
      <c r="D267" s="4" t="s">
        <v>273</v>
      </c>
      <c r="E267" s="4" t="s">
        <v>586</v>
      </c>
      <c r="F267" s="14">
        <v>1.0</v>
      </c>
      <c r="G267" s="40">
        <v>46204.0</v>
      </c>
    </row>
    <row r="268" ht="15.75" customHeight="1">
      <c r="A268" s="4" t="s">
        <v>53</v>
      </c>
      <c r="B268" s="4" t="s">
        <v>208</v>
      </c>
      <c r="C268" s="4" t="s">
        <v>209</v>
      </c>
      <c r="D268" s="4" t="s">
        <v>286</v>
      </c>
      <c r="E268" s="4" t="s">
        <v>587</v>
      </c>
      <c r="F268" s="14">
        <v>0.75</v>
      </c>
      <c r="G268" s="40">
        <v>46204.0</v>
      </c>
    </row>
    <row r="269" ht="15.75" customHeight="1">
      <c r="A269" s="4" t="s">
        <v>53</v>
      </c>
      <c r="B269" s="4" t="s">
        <v>208</v>
      </c>
      <c r="C269" s="4" t="s">
        <v>209</v>
      </c>
      <c r="D269" s="4" t="s">
        <v>194</v>
      </c>
      <c r="E269" s="4" t="s">
        <v>588</v>
      </c>
      <c r="F269" s="14">
        <v>0.5</v>
      </c>
      <c r="G269" s="40">
        <v>46204.0</v>
      </c>
    </row>
    <row r="270" ht="15.75" customHeight="1">
      <c r="A270" s="4" t="s">
        <v>53</v>
      </c>
      <c r="B270" s="4" t="s">
        <v>208</v>
      </c>
      <c r="C270" s="4" t="s">
        <v>209</v>
      </c>
      <c r="D270" s="4" t="s">
        <v>283</v>
      </c>
      <c r="E270" s="4" t="s">
        <v>589</v>
      </c>
      <c r="F270" s="14">
        <v>1.5</v>
      </c>
      <c r="G270" s="40">
        <v>46204.0</v>
      </c>
    </row>
    <row r="271" ht="15.75" customHeight="1">
      <c r="A271" s="4" t="s">
        <v>53</v>
      </c>
      <c r="B271" s="4" t="s">
        <v>208</v>
      </c>
      <c r="C271" s="4" t="s">
        <v>209</v>
      </c>
      <c r="D271" s="4" t="s">
        <v>363</v>
      </c>
      <c r="E271" s="4" t="s">
        <v>590</v>
      </c>
      <c r="F271" s="14">
        <v>2.0</v>
      </c>
      <c r="G271" s="40">
        <v>46204.0</v>
      </c>
    </row>
    <row r="272" ht="15.75" customHeight="1">
      <c r="A272" s="4" t="s">
        <v>53</v>
      </c>
      <c r="B272" s="4" t="s">
        <v>208</v>
      </c>
      <c r="C272" s="4" t="s">
        <v>209</v>
      </c>
      <c r="D272" s="4" t="s">
        <v>273</v>
      </c>
      <c r="E272" s="4" t="s">
        <v>591</v>
      </c>
      <c r="F272" s="14">
        <v>1.0</v>
      </c>
      <c r="G272" s="40">
        <v>46204.0</v>
      </c>
    </row>
    <row r="273" ht="15.75" customHeight="1">
      <c r="A273" s="4" t="s">
        <v>53</v>
      </c>
      <c r="B273" s="4" t="s">
        <v>208</v>
      </c>
      <c r="C273" s="4" t="s">
        <v>209</v>
      </c>
      <c r="D273" s="4" t="s">
        <v>194</v>
      </c>
      <c r="E273" s="4" t="s">
        <v>592</v>
      </c>
      <c r="F273" s="14">
        <v>0.5</v>
      </c>
      <c r="G273" s="40">
        <v>46204.0</v>
      </c>
    </row>
    <row r="274" ht="15.75" customHeight="1">
      <c r="A274" s="4" t="s">
        <v>53</v>
      </c>
      <c r="B274" s="4" t="s">
        <v>208</v>
      </c>
      <c r="C274" s="4" t="s">
        <v>209</v>
      </c>
      <c r="D274" s="4" t="s">
        <v>283</v>
      </c>
      <c r="E274" s="4" t="s">
        <v>593</v>
      </c>
      <c r="F274" s="14">
        <v>1.5</v>
      </c>
      <c r="G274" s="40">
        <v>46204.0</v>
      </c>
    </row>
    <row r="275" ht="15.75" customHeight="1">
      <c r="A275" s="4" t="s">
        <v>53</v>
      </c>
      <c r="B275" s="4" t="s">
        <v>208</v>
      </c>
      <c r="C275" s="4" t="s">
        <v>209</v>
      </c>
      <c r="D275" s="4" t="s">
        <v>283</v>
      </c>
      <c r="E275" s="4" t="s">
        <v>594</v>
      </c>
      <c r="F275" s="14">
        <v>1.5</v>
      </c>
      <c r="G275" s="40">
        <v>46204.0</v>
      </c>
    </row>
    <row r="276" ht="15.75" customHeight="1">
      <c r="A276" s="4" t="s">
        <v>53</v>
      </c>
      <c r="B276" s="4" t="s">
        <v>205</v>
      </c>
      <c r="C276" s="4" t="s">
        <v>206</v>
      </c>
      <c r="D276" s="4" t="s">
        <v>273</v>
      </c>
      <c r="E276" s="4" t="s">
        <v>595</v>
      </c>
      <c r="F276" s="14">
        <v>1.0</v>
      </c>
      <c r="G276" s="40">
        <v>46023.0</v>
      </c>
    </row>
    <row r="277" ht="15.75" customHeight="1">
      <c r="A277" s="4" t="s">
        <v>53</v>
      </c>
      <c r="B277" s="4" t="s">
        <v>205</v>
      </c>
      <c r="C277" s="4" t="s">
        <v>206</v>
      </c>
      <c r="D277" s="4" t="s">
        <v>273</v>
      </c>
      <c r="E277" s="4" t="s">
        <v>596</v>
      </c>
      <c r="F277" s="14">
        <v>1.0</v>
      </c>
      <c r="G277" s="40">
        <v>46023.0</v>
      </c>
    </row>
    <row r="278" ht="15.75" customHeight="1">
      <c r="A278" s="4" t="s">
        <v>53</v>
      </c>
      <c r="B278" s="4" t="s">
        <v>205</v>
      </c>
      <c r="C278" s="4" t="s">
        <v>206</v>
      </c>
      <c r="D278" s="4" t="s">
        <v>194</v>
      </c>
      <c r="E278" s="4" t="s">
        <v>597</v>
      </c>
      <c r="F278" s="14">
        <v>0.5</v>
      </c>
      <c r="G278" s="40">
        <v>46023.0</v>
      </c>
    </row>
    <row r="279" ht="15.75" customHeight="1">
      <c r="A279" s="4" t="s">
        <v>53</v>
      </c>
      <c r="B279" s="4" t="s">
        <v>205</v>
      </c>
      <c r="C279" s="4" t="s">
        <v>206</v>
      </c>
      <c r="D279" s="4" t="s">
        <v>194</v>
      </c>
      <c r="E279" s="4" t="s">
        <v>598</v>
      </c>
      <c r="F279" s="14">
        <v>0.5</v>
      </c>
      <c r="G279" s="40">
        <v>46023.0</v>
      </c>
    </row>
    <row r="280" ht="15.75" customHeight="1">
      <c r="A280" s="4" t="s">
        <v>53</v>
      </c>
      <c r="B280" s="4" t="s">
        <v>205</v>
      </c>
      <c r="C280" s="4" t="s">
        <v>206</v>
      </c>
      <c r="D280" s="4" t="s">
        <v>273</v>
      </c>
      <c r="E280" s="4" t="s">
        <v>599</v>
      </c>
      <c r="F280" s="14">
        <v>1.0</v>
      </c>
      <c r="G280" s="40">
        <v>46023.0</v>
      </c>
    </row>
    <row r="281" ht="15.75" customHeight="1">
      <c r="A281" s="4" t="s">
        <v>53</v>
      </c>
      <c r="B281" s="4" t="s">
        <v>205</v>
      </c>
      <c r="C281" s="4" t="s">
        <v>206</v>
      </c>
      <c r="D281" s="4" t="s">
        <v>194</v>
      </c>
      <c r="E281" s="4" t="s">
        <v>600</v>
      </c>
      <c r="F281" s="14">
        <v>0.5</v>
      </c>
      <c r="G281" s="40">
        <v>46023.0</v>
      </c>
    </row>
    <row r="282" ht="15.75" customHeight="1">
      <c r="A282" s="4" t="s">
        <v>53</v>
      </c>
      <c r="B282" s="4" t="s">
        <v>205</v>
      </c>
      <c r="C282" s="4" t="s">
        <v>206</v>
      </c>
      <c r="D282" s="4" t="s">
        <v>194</v>
      </c>
      <c r="E282" s="4" t="s">
        <v>601</v>
      </c>
      <c r="F282" s="14">
        <v>0.5</v>
      </c>
      <c r="G282" s="40">
        <v>46023.0</v>
      </c>
    </row>
    <row r="283" ht="15.75" customHeight="1">
      <c r="A283" s="4" t="s">
        <v>53</v>
      </c>
      <c r="B283" s="4" t="s">
        <v>205</v>
      </c>
      <c r="C283" s="4" t="s">
        <v>206</v>
      </c>
      <c r="D283" s="4" t="s">
        <v>273</v>
      </c>
      <c r="E283" s="4" t="s">
        <v>602</v>
      </c>
      <c r="F283" s="14">
        <v>1.0</v>
      </c>
      <c r="G283" s="40">
        <v>46023.0</v>
      </c>
    </row>
    <row r="284" ht="15.75" customHeight="1">
      <c r="A284" s="4" t="s">
        <v>53</v>
      </c>
      <c r="B284" s="4" t="s">
        <v>205</v>
      </c>
      <c r="C284" s="4" t="s">
        <v>206</v>
      </c>
      <c r="D284" s="4" t="s">
        <v>273</v>
      </c>
      <c r="E284" s="4" t="s">
        <v>603</v>
      </c>
      <c r="F284" s="14">
        <v>1.0</v>
      </c>
      <c r="G284" s="40">
        <v>46023.0</v>
      </c>
    </row>
    <row r="285" ht="15.75" customHeight="1">
      <c r="A285" s="4" t="s">
        <v>53</v>
      </c>
      <c r="B285" s="4" t="s">
        <v>205</v>
      </c>
      <c r="C285" s="4" t="s">
        <v>206</v>
      </c>
      <c r="D285" s="4" t="s">
        <v>273</v>
      </c>
      <c r="E285" s="4" t="s">
        <v>604</v>
      </c>
      <c r="F285" s="14">
        <v>1.0</v>
      </c>
      <c r="G285" s="40">
        <v>46023.0</v>
      </c>
    </row>
    <row r="286" ht="15.75" customHeight="1">
      <c r="A286" s="4" t="s">
        <v>53</v>
      </c>
      <c r="B286" s="4" t="s">
        <v>205</v>
      </c>
      <c r="C286" s="4" t="s">
        <v>206</v>
      </c>
      <c r="D286" s="4" t="s">
        <v>273</v>
      </c>
      <c r="E286" s="4" t="s">
        <v>605</v>
      </c>
      <c r="F286" s="14">
        <v>1.0</v>
      </c>
      <c r="G286" s="40">
        <v>46023.0</v>
      </c>
    </row>
    <row r="287" ht="15.75" customHeight="1">
      <c r="A287" s="4" t="s">
        <v>53</v>
      </c>
      <c r="B287" s="4" t="s">
        <v>205</v>
      </c>
      <c r="C287" s="4" t="s">
        <v>206</v>
      </c>
      <c r="D287" s="4" t="s">
        <v>194</v>
      </c>
      <c r="E287" s="4" t="s">
        <v>606</v>
      </c>
      <c r="F287" s="14">
        <v>0.5</v>
      </c>
      <c r="G287" s="40">
        <v>46023.0</v>
      </c>
    </row>
    <row r="288" ht="15.75" customHeight="1">
      <c r="A288" s="4" t="s">
        <v>53</v>
      </c>
      <c r="B288" s="4" t="s">
        <v>205</v>
      </c>
      <c r="C288" s="4" t="s">
        <v>206</v>
      </c>
      <c r="D288" s="4" t="s">
        <v>273</v>
      </c>
      <c r="E288" s="4" t="s">
        <v>607</v>
      </c>
      <c r="F288" s="14">
        <v>1.0</v>
      </c>
      <c r="G288" s="40">
        <v>46023.0</v>
      </c>
    </row>
    <row r="289" ht="15.75" customHeight="1">
      <c r="A289" s="4" t="s">
        <v>53</v>
      </c>
      <c r="B289" s="4" t="s">
        <v>205</v>
      </c>
      <c r="C289" s="4" t="s">
        <v>206</v>
      </c>
      <c r="D289" s="4" t="s">
        <v>194</v>
      </c>
      <c r="E289" s="4" t="s">
        <v>608</v>
      </c>
      <c r="F289" s="14">
        <v>0.5</v>
      </c>
      <c r="G289" s="40">
        <v>46023.0</v>
      </c>
    </row>
    <row r="290" ht="15.75" customHeight="1">
      <c r="A290" s="4" t="s">
        <v>53</v>
      </c>
      <c r="B290" s="4" t="s">
        <v>205</v>
      </c>
      <c r="C290" s="4" t="s">
        <v>206</v>
      </c>
      <c r="D290" s="4" t="s">
        <v>194</v>
      </c>
      <c r="E290" s="4" t="s">
        <v>609</v>
      </c>
      <c r="F290" s="14">
        <v>0.5</v>
      </c>
      <c r="G290" s="40">
        <v>46023.0</v>
      </c>
    </row>
    <row r="291" ht="15.75" customHeight="1">
      <c r="A291" s="4" t="s">
        <v>53</v>
      </c>
      <c r="B291" s="4" t="s">
        <v>205</v>
      </c>
      <c r="C291" s="4" t="s">
        <v>206</v>
      </c>
      <c r="D291" s="4" t="s">
        <v>194</v>
      </c>
      <c r="E291" s="4" t="s">
        <v>610</v>
      </c>
      <c r="F291" s="14">
        <v>0.5</v>
      </c>
      <c r="G291" s="40">
        <v>46054.0</v>
      </c>
    </row>
    <row r="292" ht="15.75" customHeight="1">
      <c r="A292" s="4" t="s">
        <v>53</v>
      </c>
      <c r="B292" s="4" t="s">
        <v>205</v>
      </c>
      <c r="C292" s="4" t="s">
        <v>206</v>
      </c>
      <c r="D292" s="4" t="s">
        <v>194</v>
      </c>
      <c r="E292" s="4" t="s">
        <v>611</v>
      </c>
      <c r="F292" s="14">
        <v>0.5</v>
      </c>
      <c r="G292" s="40">
        <v>46054.0</v>
      </c>
    </row>
    <row r="293" ht="15.75" customHeight="1">
      <c r="A293" s="4" t="s">
        <v>53</v>
      </c>
      <c r="B293" s="4" t="s">
        <v>205</v>
      </c>
      <c r="C293" s="4" t="s">
        <v>206</v>
      </c>
      <c r="D293" s="4" t="s">
        <v>273</v>
      </c>
      <c r="E293" s="4" t="s">
        <v>612</v>
      </c>
      <c r="F293" s="14">
        <v>1.0</v>
      </c>
      <c r="G293" s="40">
        <v>46054.0</v>
      </c>
    </row>
    <row r="294" ht="15.75" customHeight="1">
      <c r="A294" s="4" t="s">
        <v>53</v>
      </c>
      <c r="B294" s="4" t="s">
        <v>205</v>
      </c>
      <c r="C294" s="4" t="s">
        <v>206</v>
      </c>
      <c r="D294" s="4" t="s">
        <v>194</v>
      </c>
      <c r="E294" s="4" t="s">
        <v>613</v>
      </c>
      <c r="F294" s="14">
        <v>0.5</v>
      </c>
      <c r="G294" s="40">
        <v>46054.0</v>
      </c>
    </row>
    <row r="295" ht="15.75" customHeight="1">
      <c r="A295" s="4" t="s">
        <v>53</v>
      </c>
      <c r="B295" s="4" t="s">
        <v>205</v>
      </c>
      <c r="C295" s="4" t="s">
        <v>206</v>
      </c>
      <c r="D295" s="4" t="s">
        <v>363</v>
      </c>
      <c r="E295" s="4" t="s">
        <v>614</v>
      </c>
      <c r="F295" s="14">
        <v>2.0</v>
      </c>
      <c r="G295" s="40">
        <v>46054.0</v>
      </c>
    </row>
    <row r="296" ht="15.75" customHeight="1">
      <c r="A296" s="4" t="s">
        <v>53</v>
      </c>
      <c r="B296" s="4" t="s">
        <v>205</v>
      </c>
      <c r="C296" s="4" t="s">
        <v>206</v>
      </c>
      <c r="D296" s="4" t="s">
        <v>273</v>
      </c>
      <c r="E296" s="4" t="s">
        <v>615</v>
      </c>
      <c r="F296" s="14">
        <v>1.0</v>
      </c>
      <c r="G296" s="40">
        <v>46054.0</v>
      </c>
    </row>
    <row r="297" ht="15.75" customHeight="1">
      <c r="A297" s="4" t="s">
        <v>53</v>
      </c>
      <c r="B297" s="4" t="s">
        <v>205</v>
      </c>
      <c r="C297" s="4" t="s">
        <v>206</v>
      </c>
      <c r="D297" s="4" t="s">
        <v>273</v>
      </c>
      <c r="E297" s="4" t="s">
        <v>616</v>
      </c>
      <c r="F297" s="14">
        <v>1.0</v>
      </c>
      <c r="G297" s="40">
        <v>46054.0</v>
      </c>
    </row>
    <row r="298" ht="15.75" customHeight="1">
      <c r="A298" s="4" t="s">
        <v>53</v>
      </c>
      <c r="B298" s="4" t="s">
        <v>205</v>
      </c>
      <c r="C298" s="4" t="s">
        <v>206</v>
      </c>
      <c r="D298" s="4" t="s">
        <v>273</v>
      </c>
      <c r="E298" s="4" t="s">
        <v>617</v>
      </c>
      <c r="F298" s="14">
        <v>1.0</v>
      </c>
      <c r="G298" s="40">
        <v>46054.0</v>
      </c>
    </row>
    <row r="299" ht="15.75" customHeight="1">
      <c r="A299" s="4" t="s">
        <v>53</v>
      </c>
      <c r="B299" s="4" t="s">
        <v>205</v>
      </c>
      <c r="C299" s="4" t="s">
        <v>206</v>
      </c>
      <c r="D299" s="4" t="s">
        <v>273</v>
      </c>
      <c r="E299" s="4" t="s">
        <v>618</v>
      </c>
      <c r="F299" s="14">
        <v>1.0</v>
      </c>
      <c r="G299" s="40">
        <v>46054.0</v>
      </c>
    </row>
    <row r="300" ht="15.75" customHeight="1">
      <c r="A300" s="4" t="s">
        <v>53</v>
      </c>
      <c r="B300" s="4" t="s">
        <v>205</v>
      </c>
      <c r="C300" s="4" t="s">
        <v>206</v>
      </c>
      <c r="D300" s="4" t="s">
        <v>273</v>
      </c>
      <c r="E300" s="4" t="s">
        <v>619</v>
      </c>
      <c r="F300" s="14">
        <v>1.0</v>
      </c>
      <c r="G300" s="40">
        <v>46054.0</v>
      </c>
    </row>
    <row r="301" ht="15.75" customHeight="1">
      <c r="A301" s="4" t="s">
        <v>53</v>
      </c>
      <c r="B301" s="4" t="s">
        <v>205</v>
      </c>
      <c r="C301" s="4" t="s">
        <v>206</v>
      </c>
      <c r="D301" s="4" t="s">
        <v>194</v>
      </c>
      <c r="E301" s="4" t="s">
        <v>620</v>
      </c>
      <c r="F301" s="14">
        <v>0.5</v>
      </c>
      <c r="G301" s="40">
        <v>46082.0</v>
      </c>
    </row>
    <row r="302" ht="15.75" customHeight="1">
      <c r="A302" s="4" t="s">
        <v>53</v>
      </c>
      <c r="B302" s="4" t="s">
        <v>205</v>
      </c>
      <c r="C302" s="4" t="s">
        <v>206</v>
      </c>
      <c r="D302" s="4" t="s">
        <v>194</v>
      </c>
      <c r="E302" s="4" t="s">
        <v>621</v>
      </c>
      <c r="F302" s="14">
        <v>0.5</v>
      </c>
      <c r="G302" s="40">
        <v>46082.0</v>
      </c>
    </row>
    <row r="303" ht="15.75" customHeight="1">
      <c r="A303" s="4" t="s">
        <v>53</v>
      </c>
      <c r="B303" s="4" t="s">
        <v>205</v>
      </c>
      <c r="C303" s="4" t="s">
        <v>206</v>
      </c>
      <c r="D303" s="4" t="s">
        <v>194</v>
      </c>
      <c r="E303" s="4" t="s">
        <v>622</v>
      </c>
      <c r="F303" s="14">
        <v>0.5</v>
      </c>
      <c r="G303" s="40">
        <v>46082.0</v>
      </c>
    </row>
    <row r="304" ht="15.75" customHeight="1">
      <c r="A304" s="4" t="s">
        <v>53</v>
      </c>
      <c r="B304" s="4" t="s">
        <v>205</v>
      </c>
      <c r="C304" s="4" t="s">
        <v>206</v>
      </c>
      <c r="D304" s="4" t="s">
        <v>194</v>
      </c>
      <c r="E304" s="4" t="s">
        <v>623</v>
      </c>
      <c r="F304" s="14">
        <v>0.5</v>
      </c>
      <c r="G304" s="40">
        <v>46082.0</v>
      </c>
    </row>
    <row r="305" ht="15.75" customHeight="1">
      <c r="A305" s="4" t="s">
        <v>53</v>
      </c>
      <c r="B305" s="4" t="s">
        <v>205</v>
      </c>
      <c r="C305" s="4" t="s">
        <v>206</v>
      </c>
      <c r="D305" s="4" t="s">
        <v>194</v>
      </c>
      <c r="E305" s="4" t="s">
        <v>624</v>
      </c>
      <c r="F305" s="14">
        <v>0.5</v>
      </c>
      <c r="G305" s="40">
        <v>46082.0</v>
      </c>
    </row>
    <row r="306" ht="15.75" customHeight="1">
      <c r="A306" s="4" t="s">
        <v>53</v>
      </c>
      <c r="B306" s="4" t="s">
        <v>205</v>
      </c>
      <c r="C306" s="4" t="s">
        <v>206</v>
      </c>
      <c r="D306" s="4" t="s">
        <v>194</v>
      </c>
      <c r="E306" s="4" t="s">
        <v>625</v>
      </c>
      <c r="F306" s="14">
        <v>0.5</v>
      </c>
      <c r="G306" s="40">
        <v>46082.0</v>
      </c>
    </row>
    <row r="307" ht="15.75" customHeight="1">
      <c r="A307" s="4" t="s">
        <v>53</v>
      </c>
      <c r="B307" s="4" t="s">
        <v>205</v>
      </c>
      <c r="C307" s="4" t="s">
        <v>206</v>
      </c>
      <c r="D307" s="4" t="s">
        <v>194</v>
      </c>
      <c r="E307" s="4" t="s">
        <v>626</v>
      </c>
      <c r="F307" s="14">
        <v>0.5</v>
      </c>
      <c r="G307" s="40">
        <v>46082.0</v>
      </c>
    </row>
    <row r="308" ht="15.75" customHeight="1">
      <c r="A308" s="4" t="s">
        <v>53</v>
      </c>
      <c r="B308" s="4" t="s">
        <v>205</v>
      </c>
      <c r="C308" s="4" t="s">
        <v>206</v>
      </c>
      <c r="D308" s="4" t="s">
        <v>194</v>
      </c>
      <c r="E308" s="4" t="s">
        <v>627</v>
      </c>
      <c r="F308" s="14">
        <v>0.5</v>
      </c>
      <c r="G308" s="40">
        <v>46082.0</v>
      </c>
    </row>
    <row r="309" ht="15.75" customHeight="1">
      <c r="A309" s="4" t="s">
        <v>53</v>
      </c>
      <c r="B309" s="4" t="s">
        <v>205</v>
      </c>
      <c r="C309" s="4" t="s">
        <v>206</v>
      </c>
      <c r="D309" s="4" t="s">
        <v>273</v>
      </c>
      <c r="E309" s="4" t="s">
        <v>628</v>
      </c>
      <c r="F309" s="14">
        <v>1.0</v>
      </c>
      <c r="G309" s="40">
        <v>46082.0</v>
      </c>
    </row>
    <row r="310" ht="15.75" customHeight="1">
      <c r="A310" s="4" t="s">
        <v>53</v>
      </c>
      <c r="B310" s="4" t="s">
        <v>205</v>
      </c>
      <c r="C310" s="4" t="s">
        <v>206</v>
      </c>
      <c r="D310" s="4" t="s">
        <v>194</v>
      </c>
      <c r="E310" s="4" t="s">
        <v>629</v>
      </c>
      <c r="F310" s="14">
        <v>0.5</v>
      </c>
      <c r="G310" s="40">
        <v>46082.0</v>
      </c>
    </row>
    <row r="311" ht="15.75" customHeight="1">
      <c r="A311" s="4" t="s">
        <v>53</v>
      </c>
      <c r="B311" s="4" t="s">
        <v>205</v>
      </c>
      <c r="C311" s="4" t="s">
        <v>206</v>
      </c>
      <c r="D311" s="4" t="s">
        <v>194</v>
      </c>
      <c r="E311" s="4" t="s">
        <v>630</v>
      </c>
      <c r="F311" s="14">
        <v>0.5</v>
      </c>
      <c r="G311" s="40">
        <v>46082.0</v>
      </c>
    </row>
    <row r="312" ht="15.75" customHeight="1">
      <c r="A312" s="4" t="s">
        <v>53</v>
      </c>
      <c r="B312" s="4" t="s">
        <v>205</v>
      </c>
      <c r="C312" s="4" t="s">
        <v>206</v>
      </c>
      <c r="D312" s="4" t="s">
        <v>273</v>
      </c>
      <c r="E312" s="4" t="s">
        <v>631</v>
      </c>
      <c r="F312" s="14">
        <v>1.0</v>
      </c>
      <c r="G312" s="40">
        <v>46143.0</v>
      </c>
    </row>
    <row r="313" ht="15.75" customHeight="1">
      <c r="A313" s="4" t="s">
        <v>53</v>
      </c>
      <c r="B313" s="4" t="s">
        <v>205</v>
      </c>
      <c r="C313" s="4" t="s">
        <v>206</v>
      </c>
      <c r="D313" s="4" t="s">
        <v>273</v>
      </c>
      <c r="E313" s="4" t="s">
        <v>632</v>
      </c>
      <c r="F313" s="14">
        <v>1.0</v>
      </c>
      <c r="G313" s="40">
        <v>46174.0</v>
      </c>
    </row>
    <row r="314" ht="15.75" customHeight="1">
      <c r="A314" s="4" t="s">
        <v>53</v>
      </c>
      <c r="B314" s="4" t="s">
        <v>205</v>
      </c>
      <c r="C314" s="4" t="s">
        <v>206</v>
      </c>
      <c r="D314" s="4" t="s">
        <v>273</v>
      </c>
      <c r="E314" s="4" t="s">
        <v>633</v>
      </c>
      <c r="F314" s="14">
        <v>1.0</v>
      </c>
      <c r="G314" s="40">
        <v>46174.0</v>
      </c>
    </row>
    <row r="315" ht="15.75" customHeight="1">
      <c r="A315" s="4" t="s">
        <v>53</v>
      </c>
      <c r="B315" s="4" t="s">
        <v>275</v>
      </c>
      <c r="C315" s="4" t="s">
        <v>634</v>
      </c>
      <c r="D315" s="4" t="s">
        <v>273</v>
      </c>
      <c r="E315" s="4" t="s">
        <v>635</v>
      </c>
      <c r="F315" s="14">
        <v>1.0</v>
      </c>
      <c r="G315" s="40">
        <v>46023.0</v>
      </c>
    </row>
    <row r="316" ht="15.75" customHeight="1">
      <c r="A316" s="4" t="s">
        <v>53</v>
      </c>
      <c r="B316" s="4" t="s">
        <v>275</v>
      </c>
      <c r="C316" s="4" t="s">
        <v>634</v>
      </c>
      <c r="D316" s="4" t="s">
        <v>273</v>
      </c>
      <c r="E316" s="4" t="s">
        <v>636</v>
      </c>
      <c r="F316" s="14">
        <v>1.0</v>
      </c>
      <c r="G316" s="40">
        <v>46023.0</v>
      </c>
    </row>
    <row r="317" ht="15.75" customHeight="1">
      <c r="A317" s="4" t="s">
        <v>53</v>
      </c>
      <c r="B317" s="4" t="s">
        <v>637</v>
      </c>
      <c r="C317" s="4" t="s">
        <v>638</v>
      </c>
      <c r="D317" s="4" t="s">
        <v>194</v>
      </c>
      <c r="E317" s="4" t="s">
        <v>639</v>
      </c>
      <c r="F317" s="14">
        <v>0.5</v>
      </c>
      <c r="G317" s="40">
        <v>46054.0</v>
      </c>
    </row>
    <row r="318" ht="15.75" customHeight="1">
      <c r="A318" s="4" t="s">
        <v>53</v>
      </c>
      <c r="B318" s="4" t="s">
        <v>637</v>
      </c>
      <c r="C318" s="4" t="s">
        <v>638</v>
      </c>
      <c r="D318" s="4" t="s">
        <v>194</v>
      </c>
      <c r="E318" s="4" t="s">
        <v>640</v>
      </c>
      <c r="F318" s="14">
        <v>0.5</v>
      </c>
      <c r="G318" s="40">
        <v>46054.0</v>
      </c>
    </row>
    <row r="319" ht="15.75" customHeight="1">
      <c r="A319" s="4" t="s">
        <v>53</v>
      </c>
      <c r="B319" s="4" t="s">
        <v>637</v>
      </c>
      <c r="C319" s="4" t="s">
        <v>638</v>
      </c>
      <c r="D319" s="4" t="s">
        <v>194</v>
      </c>
      <c r="E319" s="4" t="s">
        <v>641</v>
      </c>
      <c r="F319" s="14">
        <v>0.5</v>
      </c>
      <c r="G319" s="40">
        <v>46054.0</v>
      </c>
    </row>
    <row r="320" ht="15.75" customHeight="1">
      <c r="A320" s="4" t="s">
        <v>53</v>
      </c>
      <c r="B320" s="4" t="s">
        <v>637</v>
      </c>
      <c r="C320" s="4" t="s">
        <v>638</v>
      </c>
      <c r="D320" s="4" t="s">
        <v>194</v>
      </c>
      <c r="E320" s="4" t="s">
        <v>642</v>
      </c>
      <c r="F320" s="14">
        <v>0.5</v>
      </c>
      <c r="G320" s="40">
        <v>46054.0</v>
      </c>
    </row>
    <row r="321" ht="15.75" customHeight="1">
      <c r="A321" s="4" t="s">
        <v>53</v>
      </c>
      <c r="B321" s="4" t="s">
        <v>637</v>
      </c>
      <c r="C321" s="4" t="s">
        <v>638</v>
      </c>
      <c r="D321" s="4" t="s">
        <v>194</v>
      </c>
      <c r="E321" s="4" t="s">
        <v>643</v>
      </c>
      <c r="F321" s="14">
        <v>0.5</v>
      </c>
      <c r="G321" s="40">
        <v>46054.0</v>
      </c>
    </row>
    <row r="322" ht="15.75" customHeight="1">
      <c r="A322" s="4" t="s">
        <v>53</v>
      </c>
      <c r="B322" s="4" t="s">
        <v>637</v>
      </c>
      <c r="C322" s="4" t="s">
        <v>638</v>
      </c>
      <c r="D322" s="4" t="s">
        <v>194</v>
      </c>
      <c r="E322" s="4" t="s">
        <v>644</v>
      </c>
      <c r="F322" s="14">
        <v>0.5</v>
      </c>
      <c r="G322" s="40">
        <v>46082.0</v>
      </c>
    </row>
    <row r="323" ht="15.75" customHeight="1">
      <c r="A323" s="4" t="s">
        <v>53</v>
      </c>
      <c r="B323" s="4" t="s">
        <v>637</v>
      </c>
      <c r="C323" s="4" t="s">
        <v>638</v>
      </c>
      <c r="D323" s="4" t="s">
        <v>194</v>
      </c>
      <c r="E323" s="4" t="s">
        <v>645</v>
      </c>
      <c r="F323" s="14">
        <v>0.5</v>
      </c>
      <c r="G323" s="40">
        <v>46113.0</v>
      </c>
    </row>
    <row r="324" ht="15.75" customHeight="1">
      <c r="A324" s="4" t="s">
        <v>53</v>
      </c>
      <c r="B324" s="4" t="s">
        <v>637</v>
      </c>
      <c r="C324" s="4" t="s">
        <v>638</v>
      </c>
      <c r="D324" s="4" t="s">
        <v>194</v>
      </c>
      <c r="E324" s="4" t="s">
        <v>646</v>
      </c>
      <c r="F324" s="14">
        <v>0.5</v>
      </c>
      <c r="G324" s="40">
        <v>46113.0</v>
      </c>
    </row>
    <row r="325" ht="15.75" customHeight="1">
      <c r="A325" s="4" t="s">
        <v>53</v>
      </c>
      <c r="B325" s="4" t="s">
        <v>637</v>
      </c>
      <c r="C325" s="4" t="s">
        <v>638</v>
      </c>
      <c r="D325" s="4" t="s">
        <v>194</v>
      </c>
      <c r="E325" s="4" t="s">
        <v>647</v>
      </c>
      <c r="F325" s="14">
        <v>0.5</v>
      </c>
      <c r="G325" s="40">
        <v>46113.0</v>
      </c>
    </row>
    <row r="326" ht="15.75" customHeight="1">
      <c r="A326" s="4" t="s">
        <v>53</v>
      </c>
      <c r="B326" s="4" t="s">
        <v>637</v>
      </c>
      <c r="C326" s="4" t="s">
        <v>638</v>
      </c>
      <c r="D326" s="4" t="s">
        <v>194</v>
      </c>
      <c r="E326" s="4" t="s">
        <v>648</v>
      </c>
      <c r="F326" s="14">
        <v>0.5</v>
      </c>
      <c r="G326" s="40">
        <v>46113.0</v>
      </c>
    </row>
    <row r="327" ht="15.75" customHeight="1">
      <c r="A327" s="4" t="s">
        <v>53</v>
      </c>
      <c r="B327" s="4" t="s">
        <v>649</v>
      </c>
      <c r="C327" s="4" t="s">
        <v>650</v>
      </c>
      <c r="D327" s="4" t="s">
        <v>273</v>
      </c>
      <c r="E327" s="4" t="s">
        <v>651</v>
      </c>
      <c r="F327" s="14">
        <v>1.0</v>
      </c>
      <c r="G327" s="40">
        <v>46023.0</v>
      </c>
    </row>
    <row r="328" ht="15.75" customHeight="1">
      <c r="A328" s="4" t="s">
        <v>53</v>
      </c>
      <c r="B328" s="4" t="s">
        <v>649</v>
      </c>
      <c r="C328" s="4" t="s">
        <v>650</v>
      </c>
      <c r="D328" s="4" t="s">
        <v>194</v>
      </c>
      <c r="E328" s="4" t="s">
        <v>652</v>
      </c>
      <c r="F328" s="14">
        <v>0.5</v>
      </c>
      <c r="G328" s="40">
        <v>46023.0</v>
      </c>
    </row>
    <row r="329" ht="15.75" customHeight="1">
      <c r="A329" s="4" t="s">
        <v>53</v>
      </c>
      <c r="B329" s="4" t="s">
        <v>649</v>
      </c>
      <c r="C329" s="4" t="s">
        <v>650</v>
      </c>
      <c r="D329" s="4" t="s">
        <v>194</v>
      </c>
      <c r="E329" s="4" t="s">
        <v>653</v>
      </c>
      <c r="F329" s="14">
        <v>0.5</v>
      </c>
      <c r="G329" s="40">
        <v>46082.0</v>
      </c>
    </row>
    <row r="330" ht="15.75" customHeight="1">
      <c r="A330" s="4" t="s">
        <v>53</v>
      </c>
      <c r="B330" s="4" t="s">
        <v>649</v>
      </c>
      <c r="C330" s="4" t="s">
        <v>650</v>
      </c>
      <c r="D330" s="4" t="s">
        <v>194</v>
      </c>
      <c r="E330" s="4" t="s">
        <v>654</v>
      </c>
      <c r="F330" s="14">
        <v>0.5</v>
      </c>
      <c r="G330" s="40">
        <v>46082.0</v>
      </c>
    </row>
    <row r="331" ht="15.75" customHeight="1">
      <c r="A331" s="4" t="s">
        <v>53</v>
      </c>
      <c r="B331" s="4" t="s">
        <v>649</v>
      </c>
      <c r="C331" s="4" t="s">
        <v>650</v>
      </c>
      <c r="D331" s="4" t="s">
        <v>420</v>
      </c>
      <c r="E331" s="4" t="s">
        <v>655</v>
      </c>
      <c r="F331" s="14">
        <v>0.25</v>
      </c>
      <c r="G331" s="40">
        <v>46082.0</v>
      </c>
    </row>
    <row r="332" ht="15.75" customHeight="1">
      <c r="A332" s="4" t="s">
        <v>53</v>
      </c>
      <c r="B332" s="4" t="s">
        <v>649</v>
      </c>
      <c r="C332" s="4" t="s">
        <v>650</v>
      </c>
      <c r="D332" s="4" t="s">
        <v>194</v>
      </c>
      <c r="E332" s="4" t="s">
        <v>656</v>
      </c>
      <c r="F332" s="14">
        <v>0.5</v>
      </c>
      <c r="G332" s="40">
        <v>46082.0</v>
      </c>
    </row>
    <row r="333" ht="15.75" customHeight="1">
      <c r="A333" s="4" t="s">
        <v>53</v>
      </c>
      <c r="B333" s="4" t="s">
        <v>649</v>
      </c>
      <c r="C333" s="4" t="s">
        <v>650</v>
      </c>
      <c r="D333" s="4" t="s">
        <v>194</v>
      </c>
      <c r="E333" s="4" t="s">
        <v>657</v>
      </c>
      <c r="F333" s="14">
        <v>0.5</v>
      </c>
      <c r="G333" s="40">
        <v>46082.0</v>
      </c>
    </row>
    <row r="334" ht="15.75" customHeight="1">
      <c r="A334" s="4" t="s">
        <v>53</v>
      </c>
      <c r="B334" s="4" t="s">
        <v>649</v>
      </c>
      <c r="C334" s="4" t="s">
        <v>650</v>
      </c>
      <c r="D334" s="4" t="s">
        <v>194</v>
      </c>
      <c r="E334" s="4" t="s">
        <v>658</v>
      </c>
      <c r="F334" s="14">
        <v>0.5</v>
      </c>
      <c r="G334" s="40">
        <v>46082.0</v>
      </c>
    </row>
    <row r="335" ht="15.75" customHeight="1">
      <c r="A335" s="4" t="s">
        <v>53</v>
      </c>
      <c r="B335" s="4" t="s">
        <v>649</v>
      </c>
      <c r="C335" s="4" t="s">
        <v>650</v>
      </c>
      <c r="D335" s="4" t="s">
        <v>194</v>
      </c>
      <c r="E335" s="4" t="s">
        <v>659</v>
      </c>
      <c r="F335" s="14">
        <v>0.5</v>
      </c>
      <c r="G335" s="40">
        <v>46082.0</v>
      </c>
    </row>
    <row r="336" ht="15.75" customHeight="1">
      <c r="A336" s="4" t="s">
        <v>53</v>
      </c>
      <c r="B336" s="4" t="s">
        <v>649</v>
      </c>
      <c r="C336" s="4" t="s">
        <v>650</v>
      </c>
      <c r="D336" s="4" t="s">
        <v>194</v>
      </c>
      <c r="E336" s="4" t="s">
        <v>660</v>
      </c>
      <c r="F336" s="14">
        <v>0.5</v>
      </c>
      <c r="G336" s="40">
        <v>46082.0</v>
      </c>
    </row>
    <row r="337" ht="15.75" customHeight="1">
      <c r="A337" s="4" t="s">
        <v>53</v>
      </c>
      <c r="B337" s="4" t="s">
        <v>649</v>
      </c>
      <c r="C337" s="4" t="s">
        <v>650</v>
      </c>
      <c r="D337" s="4" t="s">
        <v>194</v>
      </c>
      <c r="E337" s="4" t="s">
        <v>661</v>
      </c>
      <c r="F337" s="14">
        <v>0.5</v>
      </c>
      <c r="G337" s="40">
        <v>46082.0</v>
      </c>
    </row>
    <row r="338" ht="15.75" customHeight="1">
      <c r="A338" s="4" t="s">
        <v>53</v>
      </c>
      <c r="B338" s="4" t="s">
        <v>649</v>
      </c>
      <c r="C338" s="4" t="s">
        <v>650</v>
      </c>
      <c r="D338" s="4" t="s">
        <v>194</v>
      </c>
      <c r="E338" s="4" t="s">
        <v>662</v>
      </c>
      <c r="F338" s="14">
        <v>0.5</v>
      </c>
      <c r="G338" s="40">
        <v>46082.0</v>
      </c>
    </row>
    <row r="339" ht="15.75" customHeight="1">
      <c r="A339" s="4" t="s">
        <v>53</v>
      </c>
      <c r="B339" s="4" t="s">
        <v>649</v>
      </c>
      <c r="C339" s="4" t="s">
        <v>650</v>
      </c>
      <c r="D339" s="4" t="s">
        <v>194</v>
      </c>
      <c r="E339" s="4" t="s">
        <v>663</v>
      </c>
      <c r="F339" s="14">
        <v>0.5</v>
      </c>
      <c r="G339" s="40">
        <v>46082.0</v>
      </c>
    </row>
    <row r="340" ht="15.75" customHeight="1">
      <c r="A340" s="4" t="s">
        <v>53</v>
      </c>
      <c r="B340" s="4" t="s">
        <v>649</v>
      </c>
      <c r="C340" s="4" t="s">
        <v>650</v>
      </c>
      <c r="D340" s="4" t="s">
        <v>194</v>
      </c>
      <c r="E340" s="4" t="s">
        <v>664</v>
      </c>
      <c r="F340" s="14">
        <v>0.5</v>
      </c>
      <c r="G340" s="40">
        <v>46113.0</v>
      </c>
    </row>
    <row r="341" ht="15.75" customHeight="1">
      <c r="A341" s="4" t="s">
        <v>53</v>
      </c>
      <c r="B341" s="4" t="s">
        <v>649</v>
      </c>
      <c r="C341" s="4" t="s">
        <v>650</v>
      </c>
      <c r="D341" s="4" t="s">
        <v>194</v>
      </c>
      <c r="E341" s="4" t="s">
        <v>665</v>
      </c>
      <c r="F341" s="14">
        <v>0.5</v>
      </c>
      <c r="G341" s="40">
        <v>46113.0</v>
      </c>
    </row>
    <row r="342" ht="15.75" customHeight="1">
      <c r="A342" s="4" t="s">
        <v>53</v>
      </c>
      <c r="B342" s="4" t="s">
        <v>649</v>
      </c>
      <c r="C342" s="4" t="s">
        <v>650</v>
      </c>
      <c r="D342" s="4" t="s">
        <v>194</v>
      </c>
      <c r="E342" s="4" t="s">
        <v>666</v>
      </c>
      <c r="F342" s="14">
        <v>0.5</v>
      </c>
      <c r="G342" s="40">
        <v>46113.0</v>
      </c>
    </row>
    <row r="343" ht="15.75" customHeight="1">
      <c r="A343" s="4" t="s">
        <v>53</v>
      </c>
      <c r="B343" s="4" t="s">
        <v>649</v>
      </c>
      <c r="C343" s="4" t="s">
        <v>650</v>
      </c>
      <c r="D343" s="4" t="s">
        <v>194</v>
      </c>
      <c r="E343" s="4" t="s">
        <v>667</v>
      </c>
      <c r="F343" s="14">
        <v>0.5</v>
      </c>
      <c r="G343" s="40">
        <v>46113.0</v>
      </c>
    </row>
    <row r="344" ht="15.75" customHeight="1">
      <c r="A344" s="4" t="s">
        <v>53</v>
      </c>
      <c r="B344" s="4" t="s">
        <v>649</v>
      </c>
      <c r="C344" s="4" t="s">
        <v>650</v>
      </c>
      <c r="D344" s="4" t="s">
        <v>273</v>
      </c>
      <c r="E344" s="4" t="s">
        <v>668</v>
      </c>
      <c r="F344" s="14">
        <v>1.0</v>
      </c>
      <c r="G344" s="40">
        <v>46113.0</v>
      </c>
    </row>
    <row r="345" ht="15.75" customHeight="1">
      <c r="A345" s="4" t="s">
        <v>53</v>
      </c>
      <c r="B345" s="4" t="s">
        <v>649</v>
      </c>
      <c r="C345" s="4" t="s">
        <v>650</v>
      </c>
      <c r="D345" s="4" t="s">
        <v>194</v>
      </c>
      <c r="E345" s="4" t="s">
        <v>669</v>
      </c>
      <c r="F345" s="14">
        <v>0.5</v>
      </c>
      <c r="G345" s="40">
        <v>46113.0</v>
      </c>
    </row>
    <row r="346" ht="15.75" customHeight="1">
      <c r="A346" s="4" t="s">
        <v>53</v>
      </c>
      <c r="B346" s="4" t="s">
        <v>649</v>
      </c>
      <c r="C346" s="4" t="s">
        <v>650</v>
      </c>
      <c r="D346" s="4" t="s">
        <v>194</v>
      </c>
      <c r="E346" s="4" t="s">
        <v>670</v>
      </c>
      <c r="F346" s="14">
        <v>0.5</v>
      </c>
      <c r="G346" s="40">
        <v>46113.0</v>
      </c>
    </row>
    <row r="347" ht="15.75" customHeight="1">
      <c r="A347" s="4" t="s">
        <v>53</v>
      </c>
      <c r="B347" s="4" t="s">
        <v>251</v>
      </c>
      <c r="C347" s="4" t="s">
        <v>671</v>
      </c>
      <c r="D347" s="4" t="s">
        <v>194</v>
      </c>
      <c r="E347" s="4" t="s">
        <v>672</v>
      </c>
      <c r="F347" s="14">
        <v>0.5</v>
      </c>
      <c r="G347" s="40">
        <v>46023.0</v>
      </c>
    </row>
    <row r="348" ht="15.75" customHeight="1">
      <c r="A348" s="4" t="s">
        <v>53</v>
      </c>
      <c r="B348" s="4" t="s">
        <v>251</v>
      </c>
      <c r="C348" s="4" t="s">
        <v>671</v>
      </c>
      <c r="D348" s="4" t="s">
        <v>283</v>
      </c>
      <c r="E348" s="4" t="s">
        <v>673</v>
      </c>
      <c r="F348" s="14">
        <v>1.5</v>
      </c>
      <c r="G348" s="40">
        <v>46023.0</v>
      </c>
    </row>
    <row r="349" ht="15.75" customHeight="1">
      <c r="A349" s="4" t="s">
        <v>53</v>
      </c>
      <c r="B349" s="4" t="s">
        <v>251</v>
      </c>
      <c r="C349" s="4" t="s">
        <v>671</v>
      </c>
      <c r="D349" s="4" t="s">
        <v>273</v>
      </c>
      <c r="E349" s="4" t="s">
        <v>674</v>
      </c>
      <c r="F349" s="14">
        <v>1.0</v>
      </c>
      <c r="G349" s="40">
        <v>46023.0</v>
      </c>
    </row>
    <row r="350" ht="15.75" customHeight="1">
      <c r="A350" s="4" t="s">
        <v>53</v>
      </c>
      <c r="B350" s="4" t="s">
        <v>251</v>
      </c>
      <c r="C350" s="4" t="s">
        <v>671</v>
      </c>
      <c r="D350" s="4" t="s">
        <v>273</v>
      </c>
      <c r="E350" s="4" t="s">
        <v>675</v>
      </c>
      <c r="F350" s="14">
        <v>1.0</v>
      </c>
      <c r="G350" s="40">
        <v>46023.0</v>
      </c>
    </row>
    <row r="351" ht="15.75" customHeight="1">
      <c r="A351" s="4" t="s">
        <v>53</v>
      </c>
      <c r="B351" s="4" t="s">
        <v>251</v>
      </c>
      <c r="C351" s="4" t="s">
        <v>671</v>
      </c>
      <c r="D351" s="4" t="s">
        <v>194</v>
      </c>
      <c r="E351" s="4" t="s">
        <v>676</v>
      </c>
      <c r="F351" s="14">
        <v>0.5</v>
      </c>
      <c r="G351" s="40">
        <v>46023.0</v>
      </c>
    </row>
    <row r="352" ht="15.75" customHeight="1">
      <c r="A352" s="4" t="s">
        <v>53</v>
      </c>
      <c r="B352" s="4" t="s">
        <v>251</v>
      </c>
      <c r="C352" s="4" t="s">
        <v>671</v>
      </c>
      <c r="D352" s="4" t="s">
        <v>273</v>
      </c>
      <c r="E352" s="4" t="s">
        <v>677</v>
      </c>
      <c r="F352" s="14">
        <v>1.0</v>
      </c>
      <c r="G352" s="40">
        <v>46023.0</v>
      </c>
    </row>
    <row r="353" ht="15.75" customHeight="1">
      <c r="A353" s="4" t="s">
        <v>53</v>
      </c>
      <c r="B353" s="4" t="s">
        <v>251</v>
      </c>
      <c r="C353" s="4" t="s">
        <v>671</v>
      </c>
      <c r="D353" s="4" t="s">
        <v>283</v>
      </c>
      <c r="E353" s="4" t="s">
        <v>678</v>
      </c>
      <c r="F353" s="14">
        <v>1.5</v>
      </c>
      <c r="G353" s="40">
        <v>46023.0</v>
      </c>
    </row>
    <row r="354" ht="15.75" customHeight="1">
      <c r="A354" s="4" t="s">
        <v>53</v>
      </c>
      <c r="B354" s="4" t="s">
        <v>251</v>
      </c>
      <c r="C354" s="4" t="s">
        <v>671</v>
      </c>
      <c r="D354" s="4" t="s">
        <v>194</v>
      </c>
      <c r="E354" s="4" t="s">
        <v>679</v>
      </c>
      <c r="F354" s="14">
        <v>0.5</v>
      </c>
      <c r="G354" s="40">
        <v>46054.0</v>
      </c>
    </row>
    <row r="355" ht="15.75" customHeight="1">
      <c r="A355" s="4" t="s">
        <v>53</v>
      </c>
      <c r="B355" s="4" t="s">
        <v>251</v>
      </c>
      <c r="C355" s="4" t="s">
        <v>671</v>
      </c>
      <c r="D355" s="4" t="s">
        <v>273</v>
      </c>
      <c r="E355" s="4" t="s">
        <v>680</v>
      </c>
      <c r="F355" s="14">
        <v>1.0</v>
      </c>
      <c r="G355" s="40">
        <v>46054.0</v>
      </c>
    </row>
    <row r="356" ht="15.75" customHeight="1">
      <c r="A356" s="4" t="s">
        <v>53</v>
      </c>
      <c r="B356" s="4" t="s">
        <v>251</v>
      </c>
      <c r="C356" s="4" t="s">
        <v>671</v>
      </c>
      <c r="D356" s="4" t="s">
        <v>273</v>
      </c>
      <c r="E356" s="4" t="s">
        <v>681</v>
      </c>
      <c r="F356" s="14">
        <v>1.0</v>
      </c>
      <c r="G356" s="40">
        <v>46054.0</v>
      </c>
    </row>
    <row r="357" ht="15.75" customHeight="1">
      <c r="A357" s="4" t="s">
        <v>53</v>
      </c>
      <c r="B357" s="4" t="s">
        <v>251</v>
      </c>
      <c r="C357" s="4" t="s">
        <v>671</v>
      </c>
      <c r="D357" s="4" t="s">
        <v>273</v>
      </c>
      <c r="E357" s="4" t="s">
        <v>682</v>
      </c>
      <c r="F357" s="14">
        <v>1.0</v>
      </c>
      <c r="G357" s="40">
        <v>46054.0</v>
      </c>
    </row>
    <row r="358" ht="15.75" customHeight="1">
      <c r="A358" s="4" t="s">
        <v>53</v>
      </c>
      <c r="B358" s="4" t="s">
        <v>683</v>
      </c>
      <c r="C358" s="4" t="s">
        <v>684</v>
      </c>
      <c r="D358" s="4" t="s">
        <v>194</v>
      </c>
      <c r="E358" s="4" t="s">
        <v>685</v>
      </c>
      <c r="F358" s="14">
        <v>0.5</v>
      </c>
      <c r="G358" s="40">
        <v>46113.0</v>
      </c>
    </row>
    <row r="359" ht="15.75" customHeight="1">
      <c r="A359" s="4" t="s">
        <v>53</v>
      </c>
      <c r="B359" s="4" t="s">
        <v>683</v>
      </c>
      <c r="C359" s="4" t="s">
        <v>684</v>
      </c>
      <c r="D359" s="4" t="s">
        <v>194</v>
      </c>
      <c r="E359" s="4" t="s">
        <v>686</v>
      </c>
      <c r="F359" s="14">
        <v>0.5</v>
      </c>
      <c r="G359" s="40">
        <v>46143.0</v>
      </c>
    </row>
    <row r="360" ht="15.75" customHeight="1">
      <c r="A360" s="4" t="s">
        <v>53</v>
      </c>
      <c r="B360" s="4" t="s">
        <v>202</v>
      </c>
      <c r="C360" s="4" t="s">
        <v>203</v>
      </c>
      <c r="D360" s="4" t="s">
        <v>194</v>
      </c>
      <c r="E360" s="4" t="s">
        <v>687</v>
      </c>
      <c r="F360" s="14">
        <v>0.5</v>
      </c>
      <c r="G360" s="40">
        <v>46113.0</v>
      </c>
    </row>
    <row r="361" ht="15.75" customHeight="1">
      <c r="A361" s="4" t="s">
        <v>53</v>
      </c>
      <c r="B361" s="4" t="s">
        <v>202</v>
      </c>
      <c r="C361" s="4" t="s">
        <v>203</v>
      </c>
      <c r="D361" s="4" t="s">
        <v>194</v>
      </c>
      <c r="E361" s="4" t="s">
        <v>688</v>
      </c>
      <c r="F361" s="14">
        <v>0.5</v>
      </c>
      <c r="G361" s="40">
        <v>46143.0</v>
      </c>
    </row>
    <row r="362" ht="15.75" customHeight="1">
      <c r="A362" s="4" t="s">
        <v>93</v>
      </c>
      <c r="B362" s="4" t="s">
        <v>689</v>
      </c>
      <c r="C362" s="4" t="s">
        <v>690</v>
      </c>
      <c r="D362" s="4" t="s">
        <v>273</v>
      </c>
      <c r="E362" s="4" t="s">
        <v>691</v>
      </c>
      <c r="F362" s="14">
        <v>1.0</v>
      </c>
      <c r="G362" s="40">
        <v>46174.0</v>
      </c>
    </row>
    <row r="363" ht="15.75" customHeight="1">
      <c r="A363" s="4" t="s">
        <v>93</v>
      </c>
      <c r="B363" s="4" t="s">
        <v>199</v>
      </c>
      <c r="C363" s="4" t="s">
        <v>200</v>
      </c>
      <c r="D363" s="4" t="s">
        <v>283</v>
      </c>
      <c r="E363" s="4" t="s">
        <v>692</v>
      </c>
      <c r="F363" s="14">
        <v>1.5</v>
      </c>
      <c r="G363" s="40">
        <v>46143.0</v>
      </c>
    </row>
    <row r="364" ht="15.75" customHeight="1">
      <c r="A364" s="4" t="s">
        <v>93</v>
      </c>
      <c r="B364" s="4" t="s">
        <v>199</v>
      </c>
      <c r="C364" s="4" t="s">
        <v>200</v>
      </c>
      <c r="D364" s="4" t="s">
        <v>286</v>
      </c>
      <c r="E364" s="4" t="s">
        <v>693</v>
      </c>
      <c r="F364" s="14">
        <v>0.75</v>
      </c>
      <c r="G364" s="40">
        <v>46174.0</v>
      </c>
    </row>
    <row r="365" ht="15.75" customHeight="1">
      <c r="A365" s="4" t="s">
        <v>93</v>
      </c>
      <c r="B365" s="4" t="s">
        <v>199</v>
      </c>
      <c r="C365" s="4" t="s">
        <v>200</v>
      </c>
      <c r="D365" s="4" t="s">
        <v>273</v>
      </c>
      <c r="E365" s="4" t="s">
        <v>694</v>
      </c>
      <c r="F365" s="14">
        <v>1.0</v>
      </c>
      <c r="G365" s="40">
        <v>46174.0</v>
      </c>
    </row>
    <row r="366" ht="15.75" customHeight="1">
      <c r="A366" s="4" t="s">
        <v>93</v>
      </c>
      <c r="B366" s="4" t="s">
        <v>199</v>
      </c>
      <c r="C366" s="4" t="s">
        <v>200</v>
      </c>
      <c r="D366" s="4" t="s">
        <v>273</v>
      </c>
      <c r="E366" s="4" t="s">
        <v>695</v>
      </c>
      <c r="F366" s="14">
        <v>1.0</v>
      </c>
      <c r="G366" s="40">
        <v>46174.0</v>
      </c>
    </row>
    <row r="367" ht="15.75" customHeight="1">
      <c r="A367" s="4" t="s">
        <v>93</v>
      </c>
      <c r="B367" s="4" t="s">
        <v>696</v>
      </c>
      <c r="C367" s="4" t="s">
        <v>697</v>
      </c>
      <c r="D367" s="4" t="s">
        <v>194</v>
      </c>
      <c r="E367" s="4" t="s">
        <v>698</v>
      </c>
      <c r="F367" s="14">
        <v>0.5</v>
      </c>
      <c r="G367" s="40">
        <v>46113.0</v>
      </c>
    </row>
    <row r="368" ht="15.75" customHeight="1">
      <c r="A368" s="4" t="s">
        <v>93</v>
      </c>
      <c r="B368" s="4" t="s">
        <v>696</v>
      </c>
      <c r="C368" s="4" t="s">
        <v>697</v>
      </c>
      <c r="D368" s="4" t="s">
        <v>273</v>
      </c>
      <c r="E368" s="4" t="s">
        <v>699</v>
      </c>
      <c r="F368" s="14">
        <v>1.0</v>
      </c>
      <c r="G368" s="40">
        <v>46113.0</v>
      </c>
    </row>
    <row r="369" ht="15.75" customHeight="1">
      <c r="A369" s="4" t="s">
        <v>93</v>
      </c>
      <c r="B369" s="4" t="s">
        <v>696</v>
      </c>
      <c r="C369" s="4" t="s">
        <v>697</v>
      </c>
      <c r="D369" s="4" t="s">
        <v>194</v>
      </c>
      <c r="E369" s="4" t="s">
        <v>700</v>
      </c>
      <c r="F369" s="14">
        <v>0.5</v>
      </c>
      <c r="G369" s="40">
        <v>46113.0</v>
      </c>
    </row>
    <row r="370" ht="15.75" customHeight="1">
      <c r="A370" s="4" t="s">
        <v>93</v>
      </c>
      <c r="B370" s="4" t="s">
        <v>696</v>
      </c>
      <c r="C370" s="4" t="s">
        <v>697</v>
      </c>
      <c r="D370" s="4" t="s">
        <v>286</v>
      </c>
      <c r="E370" s="4" t="s">
        <v>701</v>
      </c>
      <c r="F370" s="14">
        <v>0.75</v>
      </c>
      <c r="G370" s="40">
        <v>46113.0</v>
      </c>
    </row>
    <row r="371" ht="15.75" customHeight="1">
      <c r="A371" s="4" t="s">
        <v>93</v>
      </c>
      <c r="B371" s="4" t="s">
        <v>696</v>
      </c>
      <c r="C371" s="4" t="s">
        <v>697</v>
      </c>
      <c r="D371" s="4" t="s">
        <v>286</v>
      </c>
      <c r="E371" s="4" t="s">
        <v>702</v>
      </c>
      <c r="F371" s="14">
        <v>0.75</v>
      </c>
      <c r="G371" s="40">
        <v>46113.0</v>
      </c>
    </row>
    <row r="372" ht="15.75" customHeight="1">
      <c r="A372" s="4" t="s">
        <v>93</v>
      </c>
      <c r="B372" s="4" t="s">
        <v>703</v>
      </c>
      <c r="C372" s="4" t="s">
        <v>704</v>
      </c>
      <c r="D372" s="4" t="s">
        <v>194</v>
      </c>
      <c r="E372" s="4" t="s">
        <v>705</v>
      </c>
      <c r="F372" s="14">
        <v>0.5</v>
      </c>
      <c r="G372" s="40">
        <v>46113.0</v>
      </c>
    </row>
    <row r="373" ht="15.75" customHeight="1">
      <c r="A373" s="4" t="s">
        <v>93</v>
      </c>
      <c r="B373" s="4" t="s">
        <v>706</v>
      </c>
      <c r="C373" s="4" t="s">
        <v>707</v>
      </c>
      <c r="D373" s="4" t="s">
        <v>194</v>
      </c>
      <c r="E373" s="4" t="s">
        <v>708</v>
      </c>
      <c r="F373" s="14">
        <v>0.5</v>
      </c>
      <c r="G373" s="40">
        <v>46082.0</v>
      </c>
    </row>
    <row r="374" ht="15.75" customHeight="1">
      <c r="A374" s="4" t="s">
        <v>93</v>
      </c>
      <c r="B374" s="4" t="s">
        <v>706</v>
      </c>
      <c r="C374" s="4" t="s">
        <v>707</v>
      </c>
      <c r="D374" s="4" t="s">
        <v>194</v>
      </c>
      <c r="E374" s="4" t="s">
        <v>709</v>
      </c>
      <c r="F374" s="14">
        <v>0.5</v>
      </c>
      <c r="G374" s="40">
        <v>46082.0</v>
      </c>
    </row>
    <row r="375" ht="15.75" customHeight="1">
      <c r="A375" s="4" t="s">
        <v>93</v>
      </c>
      <c r="B375" s="4" t="s">
        <v>706</v>
      </c>
      <c r="C375" s="4" t="s">
        <v>707</v>
      </c>
      <c r="D375" s="4" t="s">
        <v>194</v>
      </c>
      <c r="E375" s="4" t="s">
        <v>710</v>
      </c>
      <c r="F375" s="14">
        <v>0.5</v>
      </c>
      <c r="G375" s="40">
        <v>46082.0</v>
      </c>
    </row>
    <row r="376" ht="15.75" customHeight="1">
      <c r="A376" s="4" t="s">
        <v>93</v>
      </c>
      <c r="B376" s="4" t="s">
        <v>706</v>
      </c>
      <c r="C376" s="4" t="s">
        <v>707</v>
      </c>
      <c r="D376" s="4" t="s">
        <v>194</v>
      </c>
      <c r="E376" s="4" t="s">
        <v>711</v>
      </c>
      <c r="F376" s="14">
        <v>0.5</v>
      </c>
      <c r="G376" s="40">
        <v>46082.0</v>
      </c>
    </row>
    <row r="377" ht="15.75" customHeight="1">
      <c r="A377" s="4" t="s">
        <v>93</v>
      </c>
      <c r="B377" s="4" t="s">
        <v>706</v>
      </c>
      <c r="C377" s="4" t="s">
        <v>707</v>
      </c>
      <c r="D377" s="4" t="s">
        <v>273</v>
      </c>
      <c r="E377" s="4" t="s">
        <v>712</v>
      </c>
      <c r="F377" s="14">
        <v>1.0</v>
      </c>
      <c r="G377" s="40">
        <v>46082.0</v>
      </c>
    </row>
    <row r="378" ht="15.75" customHeight="1">
      <c r="A378" s="4" t="s">
        <v>93</v>
      </c>
      <c r="B378" s="4" t="s">
        <v>706</v>
      </c>
      <c r="C378" s="4" t="s">
        <v>707</v>
      </c>
      <c r="D378" s="4" t="s">
        <v>273</v>
      </c>
      <c r="E378" s="4" t="s">
        <v>713</v>
      </c>
      <c r="F378" s="14">
        <v>1.0</v>
      </c>
      <c r="G378" s="40">
        <v>46082.0</v>
      </c>
    </row>
    <row r="379" ht="15.75" customHeight="1">
      <c r="A379" s="4" t="s">
        <v>93</v>
      </c>
      <c r="B379" s="4" t="s">
        <v>706</v>
      </c>
      <c r="C379" s="4" t="s">
        <v>707</v>
      </c>
      <c r="D379" s="4" t="s">
        <v>273</v>
      </c>
      <c r="E379" s="4" t="s">
        <v>714</v>
      </c>
      <c r="F379" s="14">
        <v>1.0</v>
      </c>
      <c r="G379" s="40">
        <v>46082.0</v>
      </c>
    </row>
    <row r="380" ht="15.75" customHeight="1">
      <c r="A380" s="4" t="s">
        <v>93</v>
      </c>
      <c r="B380" s="4" t="s">
        <v>706</v>
      </c>
      <c r="C380" s="4" t="s">
        <v>707</v>
      </c>
      <c r="D380" s="4" t="s">
        <v>194</v>
      </c>
      <c r="E380" s="4" t="s">
        <v>715</v>
      </c>
      <c r="F380" s="14">
        <v>0.5</v>
      </c>
      <c r="G380" s="40">
        <v>46082.0</v>
      </c>
    </row>
    <row r="381" ht="15.75" customHeight="1">
      <c r="A381" s="4" t="s">
        <v>93</v>
      </c>
      <c r="B381" s="4" t="s">
        <v>706</v>
      </c>
      <c r="C381" s="4" t="s">
        <v>707</v>
      </c>
      <c r="D381" s="4" t="s">
        <v>273</v>
      </c>
      <c r="E381" s="4" t="s">
        <v>716</v>
      </c>
      <c r="F381" s="14">
        <v>1.0</v>
      </c>
      <c r="G381" s="40">
        <v>46082.0</v>
      </c>
    </row>
    <row r="382" ht="15.75" customHeight="1">
      <c r="A382" s="4" t="s">
        <v>93</v>
      </c>
      <c r="B382" s="4" t="s">
        <v>706</v>
      </c>
      <c r="C382" s="4" t="s">
        <v>707</v>
      </c>
      <c r="D382" s="4" t="s">
        <v>273</v>
      </c>
      <c r="E382" s="4" t="s">
        <v>717</v>
      </c>
      <c r="F382" s="14">
        <v>1.0</v>
      </c>
      <c r="G382" s="40">
        <v>46082.0</v>
      </c>
    </row>
    <row r="383" ht="15.75" customHeight="1">
      <c r="A383" s="4" t="s">
        <v>93</v>
      </c>
      <c r="B383" s="4" t="s">
        <v>706</v>
      </c>
      <c r="C383" s="4" t="s">
        <v>707</v>
      </c>
      <c r="D383" s="4" t="s">
        <v>194</v>
      </c>
      <c r="E383" s="4" t="s">
        <v>718</v>
      </c>
      <c r="F383" s="14">
        <v>0.5</v>
      </c>
      <c r="G383" s="40">
        <v>46082.0</v>
      </c>
    </row>
    <row r="384" ht="15.75" customHeight="1">
      <c r="A384" s="4" t="s">
        <v>93</v>
      </c>
      <c r="B384" s="4" t="s">
        <v>706</v>
      </c>
      <c r="C384" s="4" t="s">
        <v>707</v>
      </c>
      <c r="D384" s="4" t="s">
        <v>273</v>
      </c>
      <c r="E384" s="4" t="s">
        <v>719</v>
      </c>
      <c r="F384" s="14">
        <v>1.0</v>
      </c>
      <c r="G384" s="40">
        <v>46082.0</v>
      </c>
    </row>
    <row r="385" ht="15.75" customHeight="1">
      <c r="A385" s="4" t="s">
        <v>93</v>
      </c>
      <c r="B385" s="4" t="s">
        <v>706</v>
      </c>
      <c r="C385" s="4" t="s">
        <v>707</v>
      </c>
      <c r="D385" s="4" t="s">
        <v>422</v>
      </c>
      <c r="E385" s="4" t="s">
        <v>720</v>
      </c>
      <c r="F385" s="14">
        <v>2.5</v>
      </c>
      <c r="G385" s="40">
        <v>46082.0</v>
      </c>
    </row>
    <row r="386" ht="15.75" customHeight="1">
      <c r="A386" s="4" t="s">
        <v>93</v>
      </c>
      <c r="B386" s="4" t="s">
        <v>706</v>
      </c>
      <c r="C386" s="4" t="s">
        <v>707</v>
      </c>
      <c r="D386" s="4" t="s">
        <v>283</v>
      </c>
      <c r="E386" s="4" t="s">
        <v>721</v>
      </c>
      <c r="F386" s="14">
        <v>1.5</v>
      </c>
      <c r="G386" s="40">
        <v>46082.0</v>
      </c>
    </row>
    <row r="387" ht="15.75" customHeight="1">
      <c r="A387" s="4" t="s">
        <v>93</v>
      </c>
      <c r="B387" s="4" t="s">
        <v>706</v>
      </c>
      <c r="C387" s="4" t="s">
        <v>707</v>
      </c>
      <c r="D387" s="4" t="s">
        <v>363</v>
      </c>
      <c r="E387" s="4" t="s">
        <v>722</v>
      </c>
      <c r="F387" s="14">
        <v>2.0</v>
      </c>
      <c r="G387" s="40">
        <v>46082.0</v>
      </c>
    </row>
    <row r="388" ht="15.75" customHeight="1">
      <c r="A388" s="4" t="s">
        <v>93</v>
      </c>
      <c r="B388" s="4" t="s">
        <v>706</v>
      </c>
      <c r="C388" s="4" t="s">
        <v>707</v>
      </c>
      <c r="D388" s="4" t="s">
        <v>561</v>
      </c>
      <c r="E388" s="4" t="s">
        <v>723</v>
      </c>
      <c r="F388" s="14">
        <v>1.75</v>
      </c>
      <c r="G388" s="40">
        <v>46082.0</v>
      </c>
    </row>
    <row r="389" ht="15.75" customHeight="1">
      <c r="A389" s="4" t="s">
        <v>93</v>
      </c>
      <c r="B389" s="4" t="s">
        <v>706</v>
      </c>
      <c r="C389" s="4" t="s">
        <v>707</v>
      </c>
      <c r="D389" s="4" t="s">
        <v>422</v>
      </c>
      <c r="E389" s="4" t="s">
        <v>724</v>
      </c>
      <c r="F389" s="14">
        <v>2.5</v>
      </c>
      <c r="G389" s="40">
        <v>46082.0</v>
      </c>
    </row>
    <row r="390" ht="15.75" customHeight="1">
      <c r="A390" s="4" t="s">
        <v>93</v>
      </c>
      <c r="B390" s="4" t="s">
        <v>706</v>
      </c>
      <c r="C390" s="4" t="s">
        <v>707</v>
      </c>
      <c r="D390" s="4" t="s">
        <v>725</v>
      </c>
      <c r="E390" s="4" t="s">
        <v>726</v>
      </c>
      <c r="F390" s="14">
        <v>2.75</v>
      </c>
      <c r="G390" s="40">
        <v>46082.0</v>
      </c>
    </row>
    <row r="391" ht="15.75" customHeight="1">
      <c r="A391" s="4" t="s">
        <v>93</v>
      </c>
      <c r="B391" s="4" t="s">
        <v>706</v>
      </c>
      <c r="C391" s="4" t="s">
        <v>707</v>
      </c>
      <c r="D391" s="4" t="s">
        <v>194</v>
      </c>
      <c r="E391" s="4" t="s">
        <v>727</v>
      </c>
      <c r="F391" s="14">
        <v>0.5</v>
      </c>
      <c r="G391" s="40">
        <v>46082.0</v>
      </c>
    </row>
    <row r="392" ht="15.75" customHeight="1">
      <c r="A392" s="4" t="s">
        <v>93</v>
      </c>
      <c r="B392" s="4" t="s">
        <v>706</v>
      </c>
      <c r="C392" s="4" t="s">
        <v>707</v>
      </c>
      <c r="D392" s="4" t="s">
        <v>273</v>
      </c>
      <c r="E392" s="4" t="s">
        <v>728</v>
      </c>
      <c r="F392" s="14">
        <v>1.0</v>
      </c>
      <c r="G392" s="40">
        <v>46082.0</v>
      </c>
    </row>
    <row r="393" ht="15.75" customHeight="1">
      <c r="A393" s="4" t="s">
        <v>93</v>
      </c>
      <c r="B393" s="4" t="s">
        <v>706</v>
      </c>
      <c r="C393" s="4" t="s">
        <v>707</v>
      </c>
      <c r="D393" s="4" t="s">
        <v>273</v>
      </c>
      <c r="E393" s="4" t="s">
        <v>729</v>
      </c>
      <c r="F393" s="14">
        <v>1.0</v>
      </c>
      <c r="G393" s="40">
        <v>46082.0</v>
      </c>
    </row>
    <row r="394" ht="15.75" customHeight="1">
      <c r="A394" s="4" t="s">
        <v>93</v>
      </c>
      <c r="B394" s="4" t="s">
        <v>706</v>
      </c>
      <c r="C394" s="4" t="s">
        <v>707</v>
      </c>
      <c r="D394" s="4" t="s">
        <v>273</v>
      </c>
      <c r="E394" s="4" t="s">
        <v>730</v>
      </c>
      <c r="F394" s="14">
        <v>1.0</v>
      </c>
      <c r="G394" s="40">
        <v>46082.0</v>
      </c>
    </row>
    <row r="395" ht="15.75" customHeight="1">
      <c r="A395" s="4" t="s">
        <v>93</v>
      </c>
      <c r="B395" s="4" t="s">
        <v>706</v>
      </c>
      <c r="C395" s="4" t="s">
        <v>707</v>
      </c>
      <c r="D395" s="4" t="s">
        <v>273</v>
      </c>
      <c r="E395" s="4" t="s">
        <v>731</v>
      </c>
      <c r="F395" s="14">
        <v>1.0</v>
      </c>
      <c r="G395" s="40">
        <v>46082.0</v>
      </c>
    </row>
    <row r="396" ht="15.75" customHeight="1">
      <c r="A396" s="4" t="s">
        <v>93</v>
      </c>
      <c r="B396" s="4" t="s">
        <v>706</v>
      </c>
      <c r="C396" s="4" t="s">
        <v>707</v>
      </c>
      <c r="D396" s="4" t="s">
        <v>194</v>
      </c>
      <c r="E396" s="4" t="s">
        <v>732</v>
      </c>
      <c r="F396" s="14">
        <v>0.5</v>
      </c>
      <c r="G396" s="40">
        <v>46082.0</v>
      </c>
    </row>
    <row r="397" ht="15.75" customHeight="1">
      <c r="A397" s="4" t="s">
        <v>93</v>
      </c>
      <c r="B397" s="4" t="s">
        <v>706</v>
      </c>
      <c r="C397" s="4" t="s">
        <v>707</v>
      </c>
      <c r="D397" s="4" t="s">
        <v>273</v>
      </c>
      <c r="E397" s="4" t="s">
        <v>733</v>
      </c>
      <c r="F397" s="14">
        <v>1.0</v>
      </c>
      <c r="G397" s="40">
        <v>46082.0</v>
      </c>
    </row>
    <row r="398" ht="15.75" customHeight="1">
      <c r="A398" s="4" t="s">
        <v>93</v>
      </c>
      <c r="B398" s="4" t="s">
        <v>706</v>
      </c>
      <c r="C398" s="4" t="s">
        <v>707</v>
      </c>
      <c r="D398" s="4" t="s">
        <v>273</v>
      </c>
      <c r="E398" s="4" t="s">
        <v>734</v>
      </c>
      <c r="F398" s="14">
        <v>1.0</v>
      </c>
      <c r="G398" s="40">
        <v>46113.0</v>
      </c>
    </row>
    <row r="399" ht="15.75" customHeight="1">
      <c r="A399" s="4" t="s">
        <v>93</v>
      </c>
      <c r="B399" s="4" t="s">
        <v>735</v>
      </c>
      <c r="C399" s="4" t="s">
        <v>736</v>
      </c>
      <c r="D399" s="4" t="s">
        <v>194</v>
      </c>
      <c r="E399" s="4" t="s">
        <v>737</v>
      </c>
      <c r="F399" s="14">
        <v>0.5</v>
      </c>
      <c r="G399" s="40">
        <v>46054.0</v>
      </c>
    </row>
    <row r="400" ht="15.75" customHeight="1">
      <c r="A400" s="4" t="s">
        <v>93</v>
      </c>
      <c r="B400" s="4" t="s">
        <v>738</v>
      </c>
      <c r="C400" s="4" t="s">
        <v>739</v>
      </c>
      <c r="D400" s="4" t="s">
        <v>194</v>
      </c>
      <c r="E400" s="4" t="s">
        <v>740</v>
      </c>
      <c r="F400" s="14">
        <v>0.5</v>
      </c>
      <c r="G400" s="40">
        <v>46054.0</v>
      </c>
    </row>
    <row r="401" ht="15.75" customHeight="1">
      <c r="A401" s="4" t="s">
        <v>93</v>
      </c>
      <c r="B401" s="4" t="s">
        <v>738</v>
      </c>
      <c r="C401" s="4" t="s">
        <v>739</v>
      </c>
      <c r="D401" s="4" t="s">
        <v>422</v>
      </c>
      <c r="E401" s="4" t="s">
        <v>741</v>
      </c>
      <c r="F401" s="14">
        <v>2.5</v>
      </c>
      <c r="G401" s="40">
        <v>46054.0</v>
      </c>
    </row>
    <row r="402" ht="15.75" customHeight="1">
      <c r="A402" s="4" t="s">
        <v>93</v>
      </c>
      <c r="B402" s="4" t="s">
        <v>738</v>
      </c>
      <c r="C402" s="4" t="s">
        <v>739</v>
      </c>
      <c r="D402" s="4" t="s">
        <v>194</v>
      </c>
      <c r="E402" s="4" t="s">
        <v>742</v>
      </c>
      <c r="F402" s="14">
        <v>0.5</v>
      </c>
      <c r="G402" s="40">
        <v>46054.0</v>
      </c>
    </row>
    <row r="403" ht="15.75" customHeight="1">
      <c r="A403" s="4" t="s">
        <v>93</v>
      </c>
      <c r="B403" s="4" t="s">
        <v>743</v>
      </c>
      <c r="C403" s="4" t="s">
        <v>744</v>
      </c>
      <c r="D403" s="4" t="s">
        <v>273</v>
      </c>
      <c r="E403" s="4" t="s">
        <v>745</v>
      </c>
      <c r="F403" s="14">
        <v>1.0</v>
      </c>
      <c r="G403" s="40">
        <v>46023.0</v>
      </c>
    </row>
    <row r="404" ht="15.75" customHeight="1">
      <c r="A404" s="4" t="s">
        <v>93</v>
      </c>
      <c r="B404" s="4" t="s">
        <v>743</v>
      </c>
      <c r="C404" s="4" t="s">
        <v>744</v>
      </c>
      <c r="D404" s="4" t="s">
        <v>283</v>
      </c>
      <c r="E404" s="4" t="s">
        <v>746</v>
      </c>
      <c r="F404" s="14">
        <v>1.5</v>
      </c>
      <c r="G404" s="40">
        <v>46023.0</v>
      </c>
    </row>
    <row r="405" ht="15.75" customHeight="1">
      <c r="A405" s="4" t="s">
        <v>93</v>
      </c>
      <c r="B405" s="4" t="s">
        <v>743</v>
      </c>
      <c r="C405" s="4" t="s">
        <v>744</v>
      </c>
      <c r="D405" s="4" t="s">
        <v>273</v>
      </c>
      <c r="E405" s="4" t="s">
        <v>747</v>
      </c>
      <c r="F405" s="14">
        <v>1.0</v>
      </c>
      <c r="G405" s="40">
        <v>46023.0</v>
      </c>
    </row>
    <row r="406" ht="15.75" customHeight="1">
      <c r="A406" s="4" t="s">
        <v>93</v>
      </c>
      <c r="B406" s="4" t="s">
        <v>743</v>
      </c>
      <c r="C406" s="4" t="s">
        <v>744</v>
      </c>
      <c r="D406" s="4" t="s">
        <v>273</v>
      </c>
      <c r="E406" s="4" t="s">
        <v>748</v>
      </c>
      <c r="F406" s="14">
        <v>1.0</v>
      </c>
      <c r="G406" s="40">
        <v>46054.0</v>
      </c>
    </row>
    <row r="407" ht="15.75" customHeight="1">
      <c r="A407" s="4" t="s">
        <v>93</v>
      </c>
      <c r="B407" s="4" t="s">
        <v>743</v>
      </c>
      <c r="C407" s="4" t="s">
        <v>744</v>
      </c>
      <c r="D407" s="4" t="s">
        <v>273</v>
      </c>
      <c r="E407" s="4" t="s">
        <v>749</v>
      </c>
      <c r="F407" s="14">
        <v>1.0</v>
      </c>
      <c r="G407" s="40">
        <v>46054.0</v>
      </c>
    </row>
    <row r="408" ht="15.75" customHeight="1">
      <c r="A408" s="4" t="s">
        <v>93</v>
      </c>
      <c r="B408" s="4" t="s">
        <v>743</v>
      </c>
      <c r="C408" s="4" t="s">
        <v>744</v>
      </c>
      <c r="D408" s="4" t="s">
        <v>283</v>
      </c>
      <c r="E408" s="4" t="s">
        <v>750</v>
      </c>
      <c r="F408" s="14">
        <v>1.5</v>
      </c>
      <c r="G408" s="40">
        <v>46054.0</v>
      </c>
    </row>
    <row r="409" ht="15.75" customHeight="1">
      <c r="A409" s="4" t="s">
        <v>93</v>
      </c>
      <c r="B409" s="4" t="s">
        <v>743</v>
      </c>
      <c r="C409" s="4" t="s">
        <v>744</v>
      </c>
      <c r="D409" s="4" t="s">
        <v>273</v>
      </c>
      <c r="E409" s="4" t="s">
        <v>751</v>
      </c>
      <c r="F409" s="14">
        <v>1.0</v>
      </c>
      <c r="G409" s="40">
        <v>46054.0</v>
      </c>
    </row>
    <row r="410" ht="15.75" customHeight="1">
      <c r="A410" s="4" t="s">
        <v>93</v>
      </c>
      <c r="B410" s="4" t="s">
        <v>752</v>
      </c>
      <c r="C410" s="4" t="s">
        <v>753</v>
      </c>
      <c r="D410" s="4" t="s">
        <v>273</v>
      </c>
      <c r="E410" s="4" t="s">
        <v>754</v>
      </c>
      <c r="F410" s="14">
        <v>1.0</v>
      </c>
      <c r="G410" s="40">
        <v>46054.0</v>
      </c>
    </row>
    <row r="411" ht="15.75" customHeight="1">
      <c r="A411" s="4" t="s">
        <v>93</v>
      </c>
      <c r="B411" s="4" t="s">
        <v>752</v>
      </c>
      <c r="C411" s="4" t="s">
        <v>753</v>
      </c>
      <c r="D411" s="4" t="s">
        <v>194</v>
      </c>
      <c r="E411" s="4" t="s">
        <v>755</v>
      </c>
      <c r="F411" s="14">
        <v>0.5</v>
      </c>
      <c r="G411" s="40">
        <v>46054.0</v>
      </c>
    </row>
    <row r="412" ht="15.75" customHeight="1">
      <c r="A412" s="4" t="s">
        <v>93</v>
      </c>
      <c r="B412" s="4" t="s">
        <v>752</v>
      </c>
      <c r="C412" s="4" t="s">
        <v>753</v>
      </c>
      <c r="D412" s="4" t="s">
        <v>286</v>
      </c>
      <c r="E412" s="4" t="s">
        <v>756</v>
      </c>
      <c r="F412" s="14">
        <v>0.75</v>
      </c>
      <c r="G412" s="40">
        <v>46054.0</v>
      </c>
    </row>
    <row r="413" ht="15.75" customHeight="1">
      <c r="A413" s="4" t="s">
        <v>93</v>
      </c>
      <c r="B413" s="4" t="s">
        <v>752</v>
      </c>
      <c r="C413" s="4" t="s">
        <v>753</v>
      </c>
      <c r="D413" s="4" t="s">
        <v>194</v>
      </c>
      <c r="E413" s="4" t="s">
        <v>757</v>
      </c>
      <c r="F413" s="14">
        <v>0.5</v>
      </c>
      <c r="G413" s="40">
        <v>46054.0</v>
      </c>
    </row>
    <row r="414" ht="15.75" customHeight="1">
      <c r="A414" s="4" t="s">
        <v>93</v>
      </c>
      <c r="B414" s="4" t="s">
        <v>758</v>
      </c>
      <c r="C414" s="4" t="s">
        <v>759</v>
      </c>
      <c r="D414" s="4" t="s">
        <v>420</v>
      </c>
      <c r="E414" s="4" t="s">
        <v>760</v>
      </c>
      <c r="F414" s="14">
        <v>0.25</v>
      </c>
      <c r="G414" s="40">
        <v>46023.0</v>
      </c>
    </row>
    <row r="415" ht="15.75" customHeight="1">
      <c r="A415" s="4" t="s">
        <v>93</v>
      </c>
      <c r="B415" s="4" t="s">
        <v>196</v>
      </c>
      <c r="C415" s="4" t="s">
        <v>197</v>
      </c>
      <c r="D415" s="4" t="s">
        <v>363</v>
      </c>
      <c r="E415" s="4" t="s">
        <v>761</v>
      </c>
      <c r="F415" s="14">
        <v>2.0</v>
      </c>
      <c r="G415" s="40">
        <v>46023.0</v>
      </c>
    </row>
    <row r="416" ht="15.75" customHeight="1">
      <c r="A416" s="4" t="s">
        <v>93</v>
      </c>
      <c r="B416" s="4" t="s">
        <v>196</v>
      </c>
      <c r="C416" s="4" t="s">
        <v>197</v>
      </c>
      <c r="D416" s="4" t="s">
        <v>194</v>
      </c>
      <c r="E416" s="4" t="s">
        <v>762</v>
      </c>
      <c r="F416" s="14">
        <v>0.5</v>
      </c>
      <c r="G416" s="40">
        <v>46023.0</v>
      </c>
    </row>
    <row r="417" ht="15.75" customHeight="1">
      <c r="A417" s="4" t="s">
        <v>93</v>
      </c>
      <c r="B417" s="4" t="s">
        <v>196</v>
      </c>
      <c r="C417" s="4" t="s">
        <v>197</v>
      </c>
      <c r="D417" s="4" t="s">
        <v>194</v>
      </c>
      <c r="E417" s="4" t="s">
        <v>763</v>
      </c>
      <c r="F417" s="14">
        <v>0.5</v>
      </c>
      <c r="G417" s="40">
        <v>46023.0</v>
      </c>
    </row>
    <row r="418" ht="15.75" customHeight="1">
      <c r="A418" s="4" t="s">
        <v>93</v>
      </c>
      <c r="B418" s="4" t="s">
        <v>196</v>
      </c>
      <c r="C418" s="4" t="s">
        <v>197</v>
      </c>
      <c r="D418" s="4" t="s">
        <v>420</v>
      </c>
      <c r="E418" s="4" t="s">
        <v>764</v>
      </c>
      <c r="F418" s="14">
        <v>0.25</v>
      </c>
      <c r="G418" s="40">
        <v>46023.0</v>
      </c>
    </row>
    <row r="419" ht="15.75" customHeight="1">
      <c r="A419" s="4" t="s">
        <v>93</v>
      </c>
      <c r="B419" s="4" t="s">
        <v>196</v>
      </c>
      <c r="C419" s="4" t="s">
        <v>197</v>
      </c>
      <c r="D419" s="4" t="s">
        <v>420</v>
      </c>
      <c r="E419" s="4" t="s">
        <v>765</v>
      </c>
      <c r="F419" s="14">
        <v>0.25</v>
      </c>
      <c r="G419" s="40">
        <v>46023.0</v>
      </c>
    </row>
    <row r="420" ht="15.75" customHeight="1">
      <c r="A420" s="4" t="s">
        <v>93</v>
      </c>
      <c r="B420" s="4" t="s">
        <v>196</v>
      </c>
      <c r="C420" s="4" t="s">
        <v>197</v>
      </c>
      <c r="D420" s="4" t="s">
        <v>194</v>
      </c>
      <c r="E420" s="4" t="s">
        <v>766</v>
      </c>
      <c r="F420" s="14">
        <v>0.5</v>
      </c>
      <c r="G420" s="40">
        <v>46023.0</v>
      </c>
    </row>
    <row r="421" ht="15.75" customHeight="1">
      <c r="A421" s="4" t="s">
        <v>93</v>
      </c>
      <c r="B421" s="4" t="s">
        <v>196</v>
      </c>
      <c r="C421" s="4" t="s">
        <v>197</v>
      </c>
      <c r="D421" s="4" t="s">
        <v>420</v>
      </c>
      <c r="E421" s="4" t="s">
        <v>767</v>
      </c>
      <c r="F421" s="14">
        <v>0.25</v>
      </c>
      <c r="G421" s="40">
        <v>46023.0</v>
      </c>
    </row>
    <row r="422" ht="15.75" customHeight="1">
      <c r="A422" s="4" t="s">
        <v>93</v>
      </c>
      <c r="B422" s="4" t="s">
        <v>196</v>
      </c>
      <c r="C422" s="4" t="s">
        <v>197</v>
      </c>
      <c r="D422" s="4" t="s">
        <v>420</v>
      </c>
      <c r="E422" s="4" t="s">
        <v>768</v>
      </c>
      <c r="F422" s="14">
        <v>0.25</v>
      </c>
      <c r="G422" s="40">
        <v>46023.0</v>
      </c>
    </row>
    <row r="423" ht="15.75" customHeight="1">
      <c r="A423" s="4" t="s">
        <v>93</v>
      </c>
      <c r="B423" s="4" t="s">
        <v>196</v>
      </c>
      <c r="C423" s="4" t="s">
        <v>197</v>
      </c>
      <c r="D423" s="4" t="s">
        <v>194</v>
      </c>
      <c r="E423" s="4" t="s">
        <v>769</v>
      </c>
      <c r="F423" s="14">
        <v>0.5</v>
      </c>
      <c r="G423" s="40">
        <v>46023.0</v>
      </c>
    </row>
    <row r="424" ht="15.75" customHeight="1">
      <c r="A424" s="4" t="s">
        <v>93</v>
      </c>
      <c r="B424" s="4" t="s">
        <v>196</v>
      </c>
      <c r="C424" s="4" t="s">
        <v>197</v>
      </c>
      <c r="D424" s="4" t="s">
        <v>420</v>
      </c>
      <c r="E424" s="4" t="s">
        <v>770</v>
      </c>
      <c r="F424" s="14">
        <v>0.25</v>
      </c>
      <c r="G424" s="40">
        <v>46023.0</v>
      </c>
    </row>
    <row r="425" ht="15.75" customHeight="1">
      <c r="A425" s="4" t="s">
        <v>93</v>
      </c>
      <c r="B425" s="4" t="s">
        <v>196</v>
      </c>
      <c r="C425" s="4" t="s">
        <v>197</v>
      </c>
      <c r="D425" s="4" t="s">
        <v>194</v>
      </c>
      <c r="E425" s="4" t="s">
        <v>771</v>
      </c>
      <c r="F425" s="14">
        <v>0.5</v>
      </c>
      <c r="G425" s="40">
        <v>46023.0</v>
      </c>
    </row>
    <row r="426" ht="15.75" customHeight="1">
      <c r="A426" s="4" t="s">
        <v>93</v>
      </c>
      <c r="B426" s="4" t="s">
        <v>196</v>
      </c>
      <c r="C426" s="4" t="s">
        <v>197</v>
      </c>
      <c r="D426" s="4" t="s">
        <v>194</v>
      </c>
      <c r="E426" s="4" t="s">
        <v>772</v>
      </c>
      <c r="F426" s="14">
        <v>0.5</v>
      </c>
      <c r="G426" s="40">
        <v>46023.0</v>
      </c>
    </row>
    <row r="427" ht="15.75" customHeight="1">
      <c r="A427" s="4" t="s">
        <v>93</v>
      </c>
      <c r="B427" s="4" t="s">
        <v>196</v>
      </c>
      <c r="C427" s="4" t="s">
        <v>197</v>
      </c>
      <c r="D427" s="4" t="s">
        <v>194</v>
      </c>
      <c r="E427" s="4" t="s">
        <v>773</v>
      </c>
      <c r="F427" s="14">
        <v>0.5</v>
      </c>
      <c r="G427" s="40">
        <v>46023.0</v>
      </c>
    </row>
    <row r="428" ht="15.75" customHeight="1">
      <c r="A428" s="4" t="s">
        <v>93</v>
      </c>
      <c r="B428" s="4" t="s">
        <v>196</v>
      </c>
      <c r="C428" s="4" t="s">
        <v>197</v>
      </c>
      <c r="D428" s="4" t="s">
        <v>194</v>
      </c>
      <c r="E428" s="4" t="s">
        <v>774</v>
      </c>
      <c r="F428" s="14">
        <v>0.5</v>
      </c>
      <c r="G428" s="40">
        <v>46023.0</v>
      </c>
    </row>
    <row r="429" ht="15.75" customHeight="1">
      <c r="A429" s="4" t="s">
        <v>93</v>
      </c>
      <c r="B429" s="4" t="s">
        <v>196</v>
      </c>
      <c r="C429" s="4" t="s">
        <v>197</v>
      </c>
      <c r="D429" s="4" t="s">
        <v>194</v>
      </c>
      <c r="E429" s="4" t="s">
        <v>775</v>
      </c>
      <c r="F429" s="14">
        <v>0.5</v>
      </c>
      <c r="G429" s="40">
        <v>46023.0</v>
      </c>
    </row>
    <row r="430" ht="15.75" customHeight="1">
      <c r="A430" s="4" t="s">
        <v>93</v>
      </c>
      <c r="B430" s="4" t="s">
        <v>196</v>
      </c>
      <c r="C430" s="4" t="s">
        <v>197</v>
      </c>
      <c r="D430" s="4" t="s">
        <v>194</v>
      </c>
      <c r="E430" s="4" t="s">
        <v>776</v>
      </c>
      <c r="F430" s="14">
        <v>0.5</v>
      </c>
      <c r="G430" s="40">
        <v>46023.0</v>
      </c>
    </row>
    <row r="431" ht="15.75" customHeight="1">
      <c r="A431" s="4" t="s">
        <v>93</v>
      </c>
      <c r="B431" s="4" t="s">
        <v>196</v>
      </c>
      <c r="C431" s="4" t="s">
        <v>197</v>
      </c>
      <c r="D431" s="4" t="s">
        <v>194</v>
      </c>
      <c r="E431" s="4" t="s">
        <v>777</v>
      </c>
      <c r="F431" s="14">
        <v>0.5</v>
      </c>
      <c r="G431" s="40">
        <v>46023.0</v>
      </c>
    </row>
    <row r="432" ht="15.75" customHeight="1">
      <c r="A432" s="4" t="s">
        <v>93</v>
      </c>
      <c r="B432" s="4" t="s">
        <v>196</v>
      </c>
      <c r="C432" s="4" t="s">
        <v>197</v>
      </c>
      <c r="D432" s="4" t="s">
        <v>420</v>
      </c>
      <c r="E432" s="4" t="s">
        <v>778</v>
      </c>
      <c r="F432" s="14">
        <v>0.25</v>
      </c>
      <c r="G432" s="40">
        <v>46023.0</v>
      </c>
    </row>
    <row r="433" ht="15.75" customHeight="1">
      <c r="A433" s="4" t="s">
        <v>93</v>
      </c>
      <c r="B433" s="4" t="s">
        <v>196</v>
      </c>
      <c r="C433" s="4" t="s">
        <v>197</v>
      </c>
      <c r="D433" s="4" t="s">
        <v>194</v>
      </c>
      <c r="E433" s="4" t="s">
        <v>779</v>
      </c>
      <c r="F433" s="14">
        <v>0.5</v>
      </c>
      <c r="G433" s="40">
        <v>46054.0</v>
      </c>
    </row>
    <row r="434" ht="15.75" customHeight="1">
      <c r="A434" s="4" t="s">
        <v>93</v>
      </c>
      <c r="B434" s="4" t="s">
        <v>196</v>
      </c>
      <c r="C434" s="4" t="s">
        <v>197</v>
      </c>
      <c r="D434" s="4" t="s">
        <v>194</v>
      </c>
      <c r="E434" s="4" t="s">
        <v>780</v>
      </c>
      <c r="F434" s="14">
        <v>0.5</v>
      </c>
      <c r="G434" s="40">
        <v>46054.0</v>
      </c>
    </row>
    <row r="435" ht="15.75" customHeight="1">
      <c r="A435" s="4" t="s">
        <v>93</v>
      </c>
      <c r="B435" s="4" t="s">
        <v>196</v>
      </c>
      <c r="C435" s="4" t="s">
        <v>197</v>
      </c>
      <c r="D435" s="4" t="s">
        <v>194</v>
      </c>
      <c r="E435" s="4" t="s">
        <v>781</v>
      </c>
      <c r="F435" s="14">
        <v>0.5</v>
      </c>
      <c r="G435" s="40">
        <v>46054.0</v>
      </c>
    </row>
    <row r="436" ht="15.75" customHeight="1">
      <c r="A436" s="4" t="s">
        <v>93</v>
      </c>
      <c r="B436" s="4" t="s">
        <v>196</v>
      </c>
      <c r="C436" s="4" t="s">
        <v>197</v>
      </c>
      <c r="D436" s="4" t="s">
        <v>273</v>
      </c>
      <c r="E436" s="4" t="s">
        <v>782</v>
      </c>
      <c r="F436" s="14">
        <v>1.0</v>
      </c>
      <c r="G436" s="40">
        <v>46054.0</v>
      </c>
    </row>
    <row r="437" ht="15.75" customHeight="1">
      <c r="A437" s="4" t="s">
        <v>93</v>
      </c>
      <c r="B437" s="4" t="s">
        <v>196</v>
      </c>
      <c r="C437" s="4" t="s">
        <v>197</v>
      </c>
      <c r="D437" s="4" t="s">
        <v>286</v>
      </c>
      <c r="E437" s="4" t="s">
        <v>783</v>
      </c>
      <c r="F437" s="14">
        <v>0.75</v>
      </c>
      <c r="G437" s="40">
        <v>46054.0</v>
      </c>
    </row>
    <row r="438" ht="15.75" customHeight="1">
      <c r="A438" s="4" t="s">
        <v>93</v>
      </c>
      <c r="B438" s="4" t="s">
        <v>196</v>
      </c>
      <c r="C438" s="4" t="s">
        <v>197</v>
      </c>
      <c r="D438" s="4" t="s">
        <v>273</v>
      </c>
      <c r="E438" s="4" t="s">
        <v>784</v>
      </c>
      <c r="F438" s="14">
        <v>1.0</v>
      </c>
      <c r="G438" s="40">
        <v>46054.0</v>
      </c>
    </row>
    <row r="439" ht="15.75" customHeight="1">
      <c r="A439" s="4" t="s">
        <v>93</v>
      </c>
      <c r="B439" s="4" t="s">
        <v>196</v>
      </c>
      <c r="C439" s="4" t="s">
        <v>197</v>
      </c>
      <c r="D439" s="4" t="s">
        <v>273</v>
      </c>
      <c r="E439" s="4" t="s">
        <v>785</v>
      </c>
      <c r="F439" s="14">
        <v>1.0</v>
      </c>
      <c r="G439" s="40">
        <v>46054.0</v>
      </c>
    </row>
    <row r="440" ht="15.75" customHeight="1">
      <c r="A440" s="4" t="s">
        <v>93</v>
      </c>
      <c r="B440" s="4" t="s">
        <v>196</v>
      </c>
      <c r="C440" s="4" t="s">
        <v>197</v>
      </c>
      <c r="D440" s="4" t="s">
        <v>194</v>
      </c>
      <c r="E440" s="4" t="s">
        <v>786</v>
      </c>
      <c r="F440" s="14">
        <v>0.5</v>
      </c>
      <c r="G440" s="40">
        <v>46054.0</v>
      </c>
    </row>
    <row r="441" ht="15.75" customHeight="1">
      <c r="A441" s="4" t="s">
        <v>93</v>
      </c>
      <c r="B441" s="4" t="s">
        <v>196</v>
      </c>
      <c r="C441" s="4" t="s">
        <v>197</v>
      </c>
      <c r="D441" s="4" t="s">
        <v>273</v>
      </c>
      <c r="E441" s="4" t="s">
        <v>787</v>
      </c>
      <c r="F441" s="14">
        <v>1.0</v>
      </c>
      <c r="G441" s="40">
        <v>46054.0</v>
      </c>
    </row>
    <row r="442" ht="15.75" customHeight="1">
      <c r="A442" s="4" t="s">
        <v>93</v>
      </c>
      <c r="B442" s="4" t="s">
        <v>196</v>
      </c>
      <c r="C442" s="4" t="s">
        <v>197</v>
      </c>
      <c r="D442" s="4" t="s">
        <v>273</v>
      </c>
      <c r="E442" s="4" t="s">
        <v>788</v>
      </c>
      <c r="F442" s="14">
        <v>1.0</v>
      </c>
      <c r="G442" s="40">
        <v>46054.0</v>
      </c>
    </row>
    <row r="443" ht="15.75" customHeight="1">
      <c r="A443" s="4" t="s">
        <v>93</v>
      </c>
      <c r="B443" s="4" t="s">
        <v>196</v>
      </c>
      <c r="C443" s="4" t="s">
        <v>197</v>
      </c>
      <c r="D443" s="4" t="s">
        <v>194</v>
      </c>
      <c r="E443" s="4" t="s">
        <v>789</v>
      </c>
      <c r="F443" s="14">
        <v>0.5</v>
      </c>
      <c r="G443" s="40">
        <v>46054.0</v>
      </c>
    </row>
    <row r="444" ht="15.75" customHeight="1">
      <c r="A444" s="4" t="s">
        <v>93</v>
      </c>
      <c r="B444" s="4" t="s">
        <v>196</v>
      </c>
      <c r="C444" s="4" t="s">
        <v>197</v>
      </c>
      <c r="D444" s="4" t="s">
        <v>273</v>
      </c>
      <c r="E444" s="4" t="s">
        <v>790</v>
      </c>
      <c r="F444" s="14">
        <v>1.0</v>
      </c>
      <c r="G444" s="40">
        <v>46054.0</v>
      </c>
    </row>
    <row r="445" ht="15.75" customHeight="1">
      <c r="A445" s="4" t="s">
        <v>93</v>
      </c>
      <c r="B445" s="4" t="s">
        <v>196</v>
      </c>
      <c r="C445" s="4" t="s">
        <v>197</v>
      </c>
      <c r="D445" s="4" t="s">
        <v>273</v>
      </c>
      <c r="E445" s="4" t="s">
        <v>791</v>
      </c>
      <c r="F445" s="14">
        <v>1.0</v>
      </c>
      <c r="G445" s="40">
        <v>46054.0</v>
      </c>
    </row>
    <row r="446" ht="15.75" customHeight="1">
      <c r="A446" s="4" t="s">
        <v>93</v>
      </c>
      <c r="B446" s="4" t="s">
        <v>196</v>
      </c>
      <c r="C446" s="4" t="s">
        <v>197</v>
      </c>
      <c r="D446" s="4" t="s">
        <v>194</v>
      </c>
      <c r="E446" s="4" t="s">
        <v>792</v>
      </c>
      <c r="F446" s="14">
        <v>0.5</v>
      </c>
      <c r="G446" s="40">
        <v>46054.0</v>
      </c>
    </row>
    <row r="447" ht="15.75" customHeight="1">
      <c r="A447" s="4" t="s">
        <v>93</v>
      </c>
      <c r="B447" s="4" t="s">
        <v>196</v>
      </c>
      <c r="C447" s="4" t="s">
        <v>197</v>
      </c>
      <c r="D447" s="4" t="s">
        <v>194</v>
      </c>
      <c r="E447" s="4" t="s">
        <v>793</v>
      </c>
      <c r="F447" s="14">
        <v>0.5</v>
      </c>
      <c r="G447" s="40">
        <v>46054.0</v>
      </c>
    </row>
    <row r="448" ht="15.75" customHeight="1">
      <c r="A448" s="4" t="s">
        <v>93</v>
      </c>
      <c r="B448" s="4" t="s">
        <v>196</v>
      </c>
      <c r="C448" s="4" t="s">
        <v>197</v>
      </c>
      <c r="D448" s="4" t="s">
        <v>194</v>
      </c>
      <c r="E448" s="4" t="s">
        <v>794</v>
      </c>
      <c r="F448" s="14">
        <v>0.5</v>
      </c>
      <c r="G448" s="40">
        <v>46054.0</v>
      </c>
    </row>
    <row r="449" ht="15.75" customHeight="1">
      <c r="A449" s="4" t="s">
        <v>93</v>
      </c>
      <c r="B449" s="4" t="s">
        <v>196</v>
      </c>
      <c r="C449" s="4" t="s">
        <v>197</v>
      </c>
      <c r="D449" s="4" t="s">
        <v>194</v>
      </c>
      <c r="E449" s="4" t="s">
        <v>795</v>
      </c>
      <c r="F449" s="14">
        <v>0.5</v>
      </c>
      <c r="G449" s="40">
        <v>46054.0</v>
      </c>
    </row>
    <row r="450" ht="15.75" customHeight="1">
      <c r="A450" s="4" t="s">
        <v>93</v>
      </c>
      <c r="B450" s="4" t="s">
        <v>196</v>
      </c>
      <c r="C450" s="4" t="s">
        <v>197</v>
      </c>
      <c r="D450" s="4" t="s">
        <v>273</v>
      </c>
      <c r="E450" s="4" t="s">
        <v>797</v>
      </c>
      <c r="F450" s="14">
        <v>1.0</v>
      </c>
      <c r="G450" s="40">
        <v>46054.0</v>
      </c>
    </row>
    <row r="451" ht="15.75" customHeight="1">
      <c r="A451" s="4" t="s">
        <v>93</v>
      </c>
      <c r="B451" s="4" t="s">
        <v>196</v>
      </c>
      <c r="C451" s="4" t="s">
        <v>197</v>
      </c>
      <c r="D451" s="4" t="s">
        <v>273</v>
      </c>
      <c r="E451" s="4" t="s">
        <v>798</v>
      </c>
      <c r="F451" s="14">
        <v>1.0</v>
      </c>
      <c r="G451" s="40">
        <v>46054.0</v>
      </c>
    </row>
    <row r="452" ht="15.75" customHeight="1">
      <c r="A452" s="4" t="s">
        <v>93</v>
      </c>
      <c r="B452" s="4" t="s">
        <v>196</v>
      </c>
      <c r="C452" s="4" t="s">
        <v>197</v>
      </c>
      <c r="D452" s="4" t="s">
        <v>194</v>
      </c>
      <c r="E452" s="4" t="s">
        <v>799</v>
      </c>
      <c r="F452" s="14">
        <v>0.5</v>
      </c>
      <c r="G452" s="40">
        <v>46054.0</v>
      </c>
    </row>
    <row r="453" ht="15.75" customHeight="1">
      <c r="A453" s="4" t="s">
        <v>93</v>
      </c>
      <c r="B453" s="4" t="s">
        <v>196</v>
      </c>
      <c r="C453" s="4" t="s">
        <v>197</v>
      </c>
      <c r="D453" s="4" t="s">
        <v>286</v>
      </c>
      <c r="E453" s="4" t="s">
        <v>800</v>
      </c>
      <c r="F453" s="14">
        <v>0.75</v>
      </c>
      <c r="G453" s="40">
        <v>46054.0</v>
      </c>
    </row>
    <row r="454" ht="15.75" customHeight="1">
      <c r="A454" s="4" t="s">
        <v>93</v>
      </c>
      <c r="B454" s="4" t="s">
        <v>196</v>
      </c>
      <c r="C454" s="4" t="s">
        <v>197</v>
      </c>
      <c r="D454" s="4" t="s">
        <v>194</v>
      </c>
      <c r="E454" s="4" t="s">
        <v>801</v>
      </c>
      <c r="F454" s="14">
        <v>0.5</v>
      </c>
      <c r="G454" s="40">
        <v>46054.0</v>
      </c>
    </row>
    <row r="455" ht="15.75" customHeight="1">
      <c r="A455" s="4" t="s">
        <v>93</v>
      </c>
      <c r="B455" s="4" t="s">
        <v>196</v>
      </c>
      <c r="C455" s="4" t="s">
        <v>197</v>
      </c>
      <c r="D455" s="4" t="s">
        <v>273</v>
      </c>
      <c r="E455" s="4" t="s">
        <v>802</v>
      </c>
      <c r="F455" s="14">
        <v>1.0</v>
      </c>
      <c r="G455" s="40">
        <v>46054.0</v>
      </c>
    </row>
    <row r="456" ht="15.75" customHeight="1">
      <c r="A456" s="4" t="s">
        <v>93</v>
      </c>
      <c r="B456" s="4" t="s">
        <v>196</v>
      </c>
      <c r="C456" s="4" t="s">
        <v>197</v>
      </c>
      <c r="D456" s="4" t="s">
        <v>420</v>
      </c>
      <c r="E456" s="4" t="s">
        <v>802</v>
      </c>
      <c r="F456" s="14">
        <v>0.25</v>
      </c>
      <c r="G456" s="40">
        <v>46054.0</v>
      </c>
    </row>
    <row r="457" ht="15.75" customHeight="1">
      <c r="A457" s="4" t="s">
        <v>93</v>
      </c>
      <c r="B457" s="4" t="s">
        <v>196</v>
      </c>
      <c r="C457" s="4" t="s">
        <v>197</v>
      </c>
      <c r="D457" s="4" t="s">
        <v>273</v>
      </c>
      <c r="E457" s="4" t="s">
        <v>803</v>
      </c>
      <c r="F457" s="14">
        <v>1.0</v>
      </c>
      <c r="G457" s="40">
        <v>46054.0</v>
      </c>
    </row>
    <row r="458" ht="15.75" customHeight="1">
      <c r="A458" s="4" t="s">
        <v>93</v>
      </c>
      <c r="B458" s="4" t="s">
        <v>196</v>
      </c>
      <c r="C458" s="4" t="s">
        <v>197</v>
      </c>
      <c r="D458" s="4" t="s">
        <v>273</v>
      </c>
      <c r="E458" s="4" t="s">
        <v>804</v>
      </c>
      <c r="F458" s="14">
        <v>1.0</v>
      </c>
      <c r="G458" s="40">
        <v>46054.0</v>
      </c>
    </row>
    <row r="459" ht="15.75" customHeight="1">
      <c r="A459" s="4" t="s">
        <v>93</v>
      </c>
      <c r="B459" s="4" t="s">
        <v>196</v>
      </c>
      <c r="C459" s="4" t="s">
        <v>197</v>
      </c>
      <c r="D459" s="4" t="s">
        <v>194</v>
      </c>
      <c r="E459" s="4" t="s">
        <v>805</v>
      </c>
      <c r="F459" s="14">
        <v>0.5</v>
      </c>
      <c r="G459" s="40">
        <v>46054.0</v>
      </c>
    </row>
    <row r="460" ht="15.75" customHeight="1">
      <c r="A460" s="4" t="s">
        <v>93</v>
      </c>
      <c r="B460" s="4" t="s">
        <v>196</v>
      </c>
      <c r="C460" s="4" t="s">
        <v>197</v>
      </c>
      <c r="D460" s="4" t="s">
        <v>286</v>
      </c>
      <c r="E460" s="4" t="s">
        <v>806</v>
      </c>
      <c r="F460" s="14">
        <v>0.75</v>
      </c>
      <c r="G460" s="40">
        <v>46054.0</v>
      </c>
    </row>
    <row r="461" ht="15.75" customHeight="1">
      <c r="A461" s="4" t="s">
        <v>93</v>
      </c>
      <c r="B461" s="4" t="s">
        <v>196</v>
      </c>
      <c r="C461" s="4" t="s">
        <v>197</v>
      </c>
      <c r="D461" s="4" t="s">
        <v>194</v>
      </c>
      <c r="E461" s="4" t="s">
        <v>807</v>
      </c>
      <c r="F461" s="14">
        <v>0.5</v>
      </c>
      <c r="G461" s="40">
        <v>46082.0</v>
      </c>
    </row>
    <row r="462" ht="15.75" customHeight="1">
      <c r="A462" s="4" t="s">
        <v>93</v>
      </c>
      <c r="B462" s="4" t="s">
        <v>196</v>
      </c>
      <c r="C462" s="4" t="s">
        <v>197</v>
      </c>
      <c r="D462" s="4" t="s">
        <v>194</v>
      </c>
      <c r="E462" s="4" t="s">
        <v>808</v>
      </c>
      <c r="F462" s="14">
        <v>0.5</v>
      </c>
      <c r="G462" s="40">
        <v>46082.0</v>
      </c>
    </row>
    <row r="463" ht="15.75" customHeight="1">
      <c r="A463" s="4" t="s">
        <v>93</v>
      </c>
      <c r="B463" s="4" t="s">
        <v>196</v>
      </c>
      <c r="C463" s="4" t="s">
        <v>197</v>
      </c>
      <c r="D463" s="4" t="s">
        <v>194</v>
      </c>
      <c r="E463" s="4" t="s">
        <v>809</v>
      </c>
      <c r="F463" s="14">
        <v>0.5</v>
      </c>
      <c r="G463" s="40">
        <v>46082.0</v>
      </c>
    </row>
    <row r="464" ht="15.75" customHeight="1">
      <c r="A464" s="4" t="s">
        <v>93</v>
      </c>
      <c r="B464" s="4" t="s">
        <v>196</v>
      </c>
      <c r="C464" s="4" t="s">
        <v>197</v>
      </c>
      <c r="D464" s="4" t="s">
        <v>273</v>
      </c>
      <c r="E464" s="4" t="s">
        <v>810</v>
      </c>
      <c r="F464" s="14">
        <v>1.0</v>
      </c>
      <c r="G464" s="40">
        <v>46082.0</v>
      </c>
    </row>
    <row r="465" ht="15.75" customHeight="1">
      <c r="A465" s="4" t="s">
        <v>93</v>
      </c>
      <c r="B465" s="4" t="s">
        <v>196</v>
      </c>
      <c r="C465" s="4" t="s">
        <v>197</v>
      </c>
      <c r="D465" s="4" t="s">
        <v>273</v>
      </c>
      <c r="E465" s="4" t="s">
        <v>811</v>
      </c>
      <c r="F465" s="14">
        <v>1.0</v>
      </c>
      <c r="G465" s="40">
        <v>46082.0</v>
      </c>
    </row>
    <row r="466" ht="15.75" customHeight="1">
      <c r="A466" s="4" t="s">
        <v>93</v>
      </c>
      <c r="B466" s="4" t="s">
        <v>196</v>
      </c>
      <c r="C466" s="4" t="s">
        <v>197</v>
      </c>
      <c r="D466" s="4" t="s">
        <v>283</v>
      </c>
      <c r="E466" s="4" t="s">
        <v>812</v>
      </c>
      <c r="F466" s="14">
        <v>1.5</v>
      </c>
      <c r="G466" s="40">
        <v>46082.0</v>
      </c>
    </row>
    <row r="467" ht="15.75" customHeight="1">
      <c r="A467" s="4" t="s">
        <v>93</v>
      </c>
      <c r="B467" s="4" t="s">
        <v>196</v>
      </c>
      <c r="C467" s="4" t="s">
        <v>197</v>
      </c>
      <c r="D467" s="4" t="s">
        <v>194</v>
      </c>
      <c r="E467" s="4" t="s">
        <v>813</v>
      </c>
      <c r="F467" s="14">
        <v>0.5</v>
      </c>
      <c r="G467" s="40">
        <v>46082.0</v>
      </c>
    </row>
    <row r="468" ht="15.75" customHeight="1">
      <c r="A468" s="4" t="s">
        <v>93</v>
      </c>
      <c r="B468" s="4" t="s">
        <v>196</v>
      </c>
      <c r="C468" s="4" t="s">
        <v>197</v>
      </c>
      <c r="D468" s="4" t="s">
        <v>273</v>
      </c>
      <c r="E468" s="4" t="s">
        <v>814</v>
      </c>
      <c r="F468" s="14">
        <v>1.0</v>
      </c>
      <c r="G468" s="40">
        <v>46082.0</v>
      </c>
    </row>
    <row r="469" ht="15.75" customHeight="1">
      <c r="A469" s="4" t="s">
        <v>93</v>
      </c>
      <c r="B469" s="4" t="s">
        <v>196</v>
      </c>
      <c r="C469" s="4" t="s">
        <v>197</v>
      </c>
      <c r="D469" s="4" t="s">
        <v>194</v>
      </c>
      <c r="E469" s="4" t="s">
        <v>815</v>
      </c>
      <c r="F469" s="14">
        <v>0.5</v>
      </c>
      <c r="G469" s="40">
        <v>46113.0</v>
      </c>
    </row>
    <row r="470" ht="15.75" customHeight="1">
      <c r="A470" s="4" t="s">
        <v>93</v>
      </c>
      <c r="B470" s="4" t="s">
        <v>196</v>
      </c>
      <c r="C470" s="4" t="s">
        <v>197</v>
      </c>
      <c r="D470" s="4" t="s">
        <v>273</v>
      </c>
      <c r="E470" s="4" t="s">
        <v>816</v>
      </c>
      <c r="F470" s="14">
        <v>1.0</v>
      </c>
      <c r="G470" s="40">
        <v>46113.0</v>
      </c>
    </row>
    <row r="471" ht="15.75" customHeight="1">
      <c r="A471" s="4" t="s">
        <v>93</v>
      </c>
      <c r="B471" s="4" t="s">
        <v>196</v>
      </c>
      <c r="C471" s="4" t="s">
        <v>197</v>
      </c>
      <c r="D471" s="4" t="s">
        <v>194</v>
      </c>
      <c r="E471" s="4" t="s">
        <v>817</v>
      </c>
      <c r="F471" s="14">
        <v>0.5</v>
      </c>
      <c r="G471" s="40">
        <v>46113.0</v>
      </c>
    </row>
    <row r="472" ht="15.75" customHeight="1">
      <c r="A472" s="4" t="s">
        <v>93</v>
      </c>
      <c r="B472" s="4" t="s">
        <v>196</v>
      </c>
      <c r="C472" s="4" t="s">
        <v>197</v>
      </c>
      <c r="D472" s="4" t="s">
        <v>194</v>
      </c>
      <c r="E472" s="4" t="s">
        <v>818</v>
      </c>
      <c r="F472" s="14">
        <v>0.5</v>
      </c>
      <c r="G472" s="40">
        <v>46113.0</v>
      </c>
    </row>
    <row r="473" ht="15.75" customHeight="1">
      <c r="A473" s="4" t="s">
        <v>93</v>
      </c>
      <c r="B473" s="4" t="s">
        <v>196</v>
      </c>
      <c r="C473" s="4" t="s">
        <v>197</v>
      </c>
      <c r="D473" s="4" t="s">
        <v>273</v>
      </c>
      <c r="E473" s="4" t="s">
        <v>819</v>
      </c>
      <c r="F473" s="14">
        <v>1.0</v>
      </c>
      <c r="G473" s="40">
        <v>46113.0</v>
      </c>
    </row>
    <row r="474" ht="15.75" customHeight="1">
      <c r="A474" s="4" t="s">
        <v>93</v>
      </c>
      <c r="B474" s="4" t="s">
        <v>196</v>
      </c>
      <c r="C474" s="4" t="s">
        <v>197</v>
      </c>
      <c r="D474" s="4" t="s">
        <v>286</v>
      </c>
      <c r="E474" s="4" t="s">
        <v>820</v>
      </c>
      <c r="F474" s="14">
        <v>0.75</v>
      </c>
      <c r="G474" s="40">
        <v>46113.0</v>
      </c>
    </row>
    <row r="475" ht="15.75" customHeight="1">
      <c r="A475" s="4" t="s">
        <v>93</v>
      </c>
      <c r="B475" s="4" t="s">
        <v>196</v>
      </c>
      <c r="C475" s="4" t="s">
        <v>197</v>
      </c>
      <c r="D475" s="4" t="s">
        <v>283</v>
      </c>
      <c r="E475" s="4" t="s">
        <v>822</v>
      </c>
      <c r="F475" s="14">
        <v>1.5</v>
      </c>
      <c r="G475" s="40">
        <v>46113.0</v>
      </c>
    </row>
    <row r="476" ht="15.75" customHeight="1">
      <c r="A476" s="4" t="s">
        <v>93</v>
      </c>
      <c r="B476" s="4" t="s">
        <v>196</v>
      </c>
      <c r="C476" s="4" t="s">
        <v>197</v>
      </c>
      <c r="D476" s="4" t="s">
        <v>194</v>
      </c>
      <c r="E476" s="4" t="s">
        <v>823</v>
      </c>
      <c r="F476" s="14">
        <v>0.5</v>
      </c>
      <c r="G476" s="40">
        <v>46143.0</v>
      </c>
    </row>
    <row r="477" ht="15.75" customHeight="1">
      <c r="A477" s="4" t="s">
        <v>93</v>
      </c>
      <c r="B477" s="4" t="s">
        <v>196</v>
      </c>
      <c r="C477" s="4" t="s">
        <v>197</v>
      </c>
      <c r="D477" s="4" t="s">
        <v>420</v>
      </c>
      <c r="E477" s="4" t="s">
        <v>824</v>
      </c>
      <c r="F477" s="14">
        <v>0.25</v>
      </c>
      <c r="G477" s="40">
        <v>46143.0</v>
      </c>
    </row>
    <row r="478" ht="15.75" customHeight="1">
      <c r="A478" s="4" t="s">
        <v>93</v>
      </c>
      <c r="B478" s="4" t="s">
        <v>196</v>
      </c>
      <c r="C478" s="4" t="s">
        <v>197</v>
      </c>
      <c r="D478" s="4" t="s">
        <v>283</v>
      </c>
      <c r="E478" s="4" t="s">
        <v>825</v>
      </c>
      <c r="F478" s="14">
        <v>1.5</v>
      </c>
      <c r="G478" s="40">
        <v>46143.0</v>
      </c>
    </row>
    <row r="479" ht="15.75" customHeight="1">
      <c r="A479" s="4" t="s">
        <v>93</v>
      </c>
      <c r="B479" s="4" t="s">
        <v>196</v>
      </c>
      <c r="C479" s="4" t="s">
        <v>197</v>
      </c>
      <c r="D479" s="4" t="s">
        <v>826</v>
      </c>
      <c r="E479" s="4" t="s">
        <v>827</v>
      </c>
      <c r="F479" s="14">
        <v>3.0</v>
      </c>
      <c r="G479" s="40">
        <v>46143.0</v>
      </c>
    </row>
    <row r="480" ht="15.75" customHeight="1">
      <c r="A480" s="4" t="s">
        <v>93</v>
      </c>
      <c r="B480" s="4" t="s">
        <v>196</v>
      </c>
      <c r="C480" s="4" t="s">
        <v>197</v>
      </c>
      <c r="D480" s="4" t="s">
        <v>194</v>
      </c>
      <c r="E480" s="4" t="s">
        <v>828</v>
      </c>
      <c r="F480" s="14">
        <v>0.5</v>
      </c>
      <c r="G480" s="40">
        <v>46143.0</v>
      </c>
    </row>
    <row r="481" ht="15.75" customHeight="1">
      <c r="A481" s="4" t="s">
        <v>93</v>
      </c>
      <c r="B481" s="4" t="s">
        <v>196</v>
      </c>
      <c r="C481" s="4" t="s">
        <v>197</v>
      </c>
      <c r="D481" s="4" t="s">
        <v>363</v>
      </c>
      <c r="E481" s="4" t="s">
        <v>829</v>
      </c>
      <c r="F481" s="14">
        <v>2.0</v>
      </c>
      <c r="G481" s="40">
        <v>46143.0</v>
      </c>
    </row>
    <row r="482" ht="15.75" customHeight="1">
      <c r="A482" s="4" t="s">
        <v>93</v>
      </c>
      <c r="B482" s="4" t="s">
        <v>196</v>
      </c>
      <c r="C482" s="4" t="s">
        <v>197</v>
      </c>
      <c r="D482" s="4" t="s">
        <v>273</v>
      </c>
      <c r="E482" s="4" t="s">
        <v>830</v>
      </c>
      <c r="F482" s="14">
        <v>1.0</v>
      </c>
      <c r="G482" s="40">
        <v>46143.0</v>
      </c>
    </row>
    <row r="483" ht="15.75" customHeight="1">
      <c r="A483" s="4" t="s">
        <v>93</v>
      </c>
      <c r="B483" s="4" t="s">
        <v>196</v>
      </c>
      <c r="C483" s="4" t="s">
        <v>197</v>
      </c>
      <c r="D483" s="4" t="s">
        <v>348</v>
      </c>
      <c r="E483" s="4" t="s">
        <v>831</v>
      </c>
      <c r="F483" s="14">
        <v>5.0</v>
      </c>
      <c r="G483" s="40">
        <v>46143.0</v>
      </c>
    </row>
    <row r="484" ht="15.75" customHeight="1">
      <c r="A484" s="4" t="s">
        <v>93</v>
      </c>
      <c r="B484" s="4" t="s">
        <v>196</v>
      </c>
      <c r="C484" s="4" t="s">
        <v>197</v>
      </c>
      <c r="D484" s="4" t="s">
        <v>348</v>
      </c>
      <c r="E484" s="4" t="s">
        <v>832</v>
      </c>
      <c r="F484" s="14">
        <v>5.0</v>
      </c>
      <c r="G484" s="40">
        <v>46143.0</v>
      </c>
    </row>
    <row r="485" ht="15.75" customHeight="1">
      <c r="A485" s="4" t="s">
        <v>93</v>
      </c>
      <c r="B485" s="4" t="s">
        <v>196</v>
      </c>
      <c r="C485" s="4" t="s">
        <v>197</v>
      </c>
      <c r="D485" s="4" t="s">
        <v>441</v>
      </c>
      <c r="E485" s="4" t="s">
        <v>833</v>
      </c>
      <c r="F485" s="14">
        <v>1.25</v>
      </c>
      <c r="G485" s="40">
        <v>46143.0</v>
      </c>
    </row>
    <row r="486" ht="15.75" customHeight="1">
      <c r="A486" s="4" t="s">
        <v>93</v>
      </c>
      <c r="B486" s="4" t="s">
        <v>196</v>
      </c>
      <c r="C486" s="4" t="s">
        <v>197</v>
      </c>
      <c r="D486" s="4" t="s">
        <v>273</v>
      </c>
      <c r="E486" s="4" t="s">
        <v>834</v>
      </c>
      <c r="F486" s="14">
        <v>1.0</v>
      </c>
      <c r="G486" s="40">
        <v>46143.0</v>
      </c>
    </row>
    <row r="487" ht="15.75" customHeight="1">
      <c r="A487" s="4" t="s">
        <v>93</v>
      </c>
      <c r="B487" s="4" t="s">
        <v>196</v>
      </c>
      <c r="C487" s="4" t="s">
        <v>197</v>
      </c>
      <c r="D487" s="4" t="s">
        <v>194</v>
      </c>
      <c r="E487" s="4" t="s">
        <v>835</v>
      </c>
      <c r="F487" s="14">
        <v>0.5</v>
      </c>
      <c r="G487" s="40">
        <v>46143.0</v>
      </c>
    </row>
    <row r="488" ht="15.75" customHeight="1">
      <c r="A488" s="4" t="s">
        <v>93</v>
      </c>
      <c r="B488" s="4" t="s">
        <v>196</v>
      </c>
      <c r="C488" s="4" t="s">
        <v>197</v>
      </c>
      <c r="D488" s="4" t="s">
        <v>826</v>
      </c>
      <c r="E488" s="4" t="s">
        <v>836</v>
      </c>
      <c r="F488" s="14">
        <v>3.0</v>
      </c>
      <c r="G488" s="40">
        <v>46143.0</v>
      </c>
    </row>
    <row r="489" ht="15.75" customHeight="1">
      <c r="A489" s="4" t="s">
        <v>93</v>
      </c>
      <c r="B489" s="4" t="s">
        <v>196</v>
      </c>
      <c r="C489" s="4" t="s">
        <v>197</v>
      </c>
      <c r="D489" s="4" t="s">
        <v>363</v>
      </c>
      <c r="E489" s="4" t="s">
        <v>837</v>
      </c>
      <c r="F489" s="14">
        <v>2.0</v>
      </c>
      <c r="G489" s="40">
        <v>46143.0</v>
      </c>
    </row>
    <row r="490" ht="15.75" customHeight="1">
      <c r="A490" s="4" t="s">
        <v>93</v>
      </c>
      <c r="B490" s="4" t="s">
        <v>196</v>
      </c>
      <c r="C490" s="4" t="s">
        <v>197</v>
      </c>
      <c r="D490" s="4" t="s">
        <v>273</v>
      </c>
      <c r="E490" s="4" t="s">
        <v>838</v>
      </c>
      <c r="F490" s="14">
        <v>1.0</v>
      </c>
      <c r="G490" s="40">
        <v>46143.0</v>
      </c>
    </row>
    <row r="491" ht="15.75" customHeight="1">
      <c r="A491" s="4" t="s">
        <v>93</v>
      </c>
      <c r="B491" s="4" t="s">
        <v>196</v>
      </c>
      <c r="C491" s="4" t="s">
        <v>197</v>
      </c>
      <c r="D491" s="4" t="s">
        <v>194</v>
      </c>
      <c r="E491" s="4" t="s">
        <v>839</v>
      </c>
      <c r="F491" s="14">
        <v>0.5</v>
      </c>
      <c r="G491" s="40">
        <v>46143.0</v>
      </c>
    </row>
    <row r="492" ht="15.75" customHeight="1">
      <c r="A492" s="4" t="s">
        <v>93</v>
      </c>
      <c r="B492" s="4" t="s">
        <v>196</v>
      </c>
      <c r="C492" s="4" t="s">
        <v>197</v>
      </c>
      <c r="D492" s="4" t="s">
        <v>273</v>
      </c>
      <c r="E492" s="4" t="s">
        <v>840</v>
      </c>
      <c r="F492" s="14">
        <v>1.0</v>
      </c>
      <c r="G492" s="40">
        <v>46143.0</v>
      </c>
    </row>
    <row r="493" ht="15.75" customHeight="1">
      <c r="A493" s="4" t="s">
        <v>93</v>
      </c>
      <c r="B493" s="4" t="s">
        <v>196</v>
      </c>
      <c r="C493" s="4" t="s">
        <v>197</v>
      </c>
      <c r="D493" s="4" t="s">
        <v>273</v>
      </c>
      <c r="E493" s="4" t="s">
        <v>841</v>
      </c>
      <c r="F493" s="14">
        <v>1.0</v>
      </c>
      <c r="G493" s="40">
        <v>46143.0</v>
      </c>
    </row>
    <row r="494" ht="15.75" customHeight="1">
      <c r="A494" s="4" t="s">
        <v>93</v>
      </c>
      <c r="B494" s="4" t="s">
        <v>196</v>
      </c>
      <c r="C494" s="4" t="s">
        <v>197</v>
      </c>
      <c r="D494" s="4" t="s">
        <v>194</v>
      </c>
      <c r="E494" s="4" t="s">
        <v>842</v>
      </c>
      <c r="F494" s="14">
        <v>0.5</v>
      </c>
      <c r="G494" s="40">
        <v>46143.0</v>
      </c>
    </row>
    <row r="495" ht="15.75" customHeight="1">
      <c r="A495" s="4" t="s">
        <v>93</v>
      </c>
      <c r="B495" s="4" t="s">
        <v>196</v>
      </c>
      <c r="C495" s="4" t="s">
        <v>197</v>
      </c>
      <c r="D495" s="4" t="s">
        <v>194</v>
      </c>
      <c r="E495" s="4" t="s">
        <v>843</v>
      </c>
      <c r="F495" s="14">
        <v>0.5</v>
      </c>
      <c r="G495" s="40">
        <v>46174.0</v>
      </c>
    </row>
    <row r="496" ht="15.75" customHeight="1">
      <c r="A496" s="4" t="s">
        <v>93</v>
      </c>
      <c r="B496" s="4" t="s">
        <v>196</v>
      </c>
      <c r="C496" s="4" t="s">
        <v>197</v>
      </c>
      <c r="D496" s="4" t="s">
        <v>273</v>
      </c>
      <c r="E496" s="4" t="s">
        <v>844</v>
      </c>
      <c r="F496" s="14">
        <v>1.0</v>
      </c>
      <c r="G496" s="40">
        <v>46174.0</v>
      </c>
    </row>
    <row r="497" ht="15.75" customHeight="1">
      <c r="A497" s="4" t="s">
        <v>93</v>
      </c>
      <c r="B497" s="4" t="s">
        <v>196</v>
      </c>
      <c r="C497" s="4" t="s">
        <v>197</v>
      </c>
      <c r="D497" s="4" t="s">
        <v>273</v>
      </c>
      <c r="E497" s="4" t="s">
        <v>845</v>
      </c>
      <c r="F497" s="14">
        <v>1.0</v>
      </c>
      <c r="G497" s="40">
        <v>46174.0</v>
      </c>
    </row>
    <row r="498" ht="15.75" customHeight="1">
      <c r="A498" s="4" t="s">
        <v>93</v>
      </c>
      <c r="B498" s="4" t="s">
        <v>196</v>
      </c>
      <c r="C498" s="4" t="s">
        <v>197</v>
      </c>
      <c r="D498" s="4" t="s">
        <v>273</v>
      </c>
      <c r="E498" s="4" t="s">
        <v>846</v>
      </c>
      <c r="F498" s="14">
        <v>1.0</v>
      </c>
      <c r="G498" s="40">
        <v>46174.0</v>
      </c>
    </row>
    <row r="499" ht="15.75" customHeight="1">
      <c r="A499" s="4" t="s">
        <v>93</v>
      </c>
      <c r="B499" s="4" t="s">
        <v>196</v>
      </c>
      <c r="C499" s="4" t="s">
        <v>197</v>
      </c>
      <c r="D499" s="4" t="s">
        <v>194</v>
      </c>
      <c r="E499" s="4" t="s">
        <v>848</v>
      </c>
      <c r="F499" s="14">
        <v>0.5</v>
      </c>
      <c r="G499" s="40">
        <v>46174.0</v>
      </c>
    </row>
    <row r="500" ht="15.75" customHeight="1">
      <c r="A500" s="4" t="s">
        <v>93</v>
      </c>
      <c r="B500" s="4" t="s">
        <v>196</v>
      </c>
      <c r="C500" s="4" t="s">
        <v>197</v>
      </c>
      <c r="D500" s="4" t="s">
        <v>194</v>
      </c>
      <c r="E500" s="4" t="s">
        <v>849</v>
      </c>
      <c r="F500" s="14">
        <v>0.5</v>
      </c>
      <c r="G500" s="40">
        <v>46174.0</v>
      </c>
    </row>
    <row r="501" ht="15.75" customHeight="1">
      <c r="A501" s="4" t="s">
        <v>93</v>
      </c>
      <c r="B501" s="4" t="s">
        <v>196</v>
      </c>
      <c r="C501" s="4" t="s">
        <v>197</v>
      </c>
      <c r="D501" s="4" t="s">
        <v>273</v>
      </c>
      <c r="E501" s="4" t="s">
        <v>850</v>
      </c>
      <c r="F501" s="14">
        <v>1.0</v>
      </c>
      <c r="G501" s="40">
        <v>46174.0</v>
      </c>
    </row>
    <row r="502" ht="15.75" customHeight="1">
      <c r="A502" s="4" t="s">
        <v>93</v>
      </c>
      <c r="B502" s="4" t="s">
        <v>196</v>
      </c>
      <c r="C502" s="4" t="s">
        <v>197</v>
      </c>
      <c r="D502" s="4" t="s">
        <v>273</v>
      </c>
      <c r="E502" s="4" t="s">
        <v>851</v>
      </c>
      <c r="F502" s="14">
        <v>1.0</v>
      </c>
      <c r="G502" s="40">
        <v>46174.0</v>
      </c>
    </row>
    <row r="503" ht="15.75" customHeight="1">
      <c r="A503" s="4" t="s">
        <v>93</v>
      </c>
      <c r="B503" s="4" t="s">
        <v>196</v>
      </c>
      <c r="C503" s="4" t="s">
        <v>197</v>
      </c>
      <c r="D503" s="4" t="s">
        <v>273</v>
      </c>
      <c r="E503" s="4" t="s">
        <v>852</v>
      </c>
      <c r="F503" s="14">
        <v>1.0</v>
      </c>
      <c r="G503" s="40">
        <v>46174.0</v>
      </c>
    </row>
    <row r="504" ht="15.75" customHeight="1">
      <c r="A504" s="4" t="s">
        <v>93</v>
      </c>
      <c r="B504" s="4" t="s">
        <v>196</v>
      </c>
      <c r="C504" s="4" t="s">
        <v>197</v>
      </c>
      <c r="D504" s="4" t="s">
        <v>273</v>
      </c>
      <c r="E504" s="4" t="s">
        <v>853</v>
      </c>
      <c r="F504" s="14">
        <v>1.0</v>
      </c>
      <c r="G504" s="40">
        <v>46174.0</v>
      </c>
    </row>
    <row r="505" ht="15.75" customHeight="1">
      <c r="A505" s="4" t="s">
        <v>93</v>
      </c>
      <c r="B505" s="4" t="s">
        <v>196</v>
      </c>
      <c r="C505" s="4" t="s">
        <v>197</v>
      </c>
      <c r="D505" s="4" t="s">
        <v>194</v>
      </c>
      <c r="E505" s="4" t="s">
        <v>854</v>
      </c>
      <c r="F505" s="14">
        <v>0.5</v>
      </c>
      <c r="G505" s="40">
        <v>46174.0</v>
      </c>
    </row>
    <row r="506" ht="15.75" customHeight="1">
      <c r="A506" s="4" t="s">
        <v>93</v>
      </c>
      <c r="B506" s="4" t="s">
        <v>196</v>
      </c>
      <c r="C506" s="4" t="s">
        <v>197</v>
      </c>
      <c r="D506" s="4" t="s">
        <v>826</v>
      </c>
      <c r="E506" s="4" t="s">
        <v>856</v>
      </c>
      <c r="F506" s="14">
        <v>3.0</v>
      </c>
      <c r="G506" s="40">
        <v>46174.0</v>
      </c>
    </row>
    <row r="507" ht="15.75" customHeight="1">
      <c r="A507" s="4" t="s">
        <v>93</v>
      </c>
      <c r="B507" s="4" t="s">
        <v>196</v>
      </c>
      <c r="C507" s="4" t="s">
        <v>197</v>
      </c>
      <c r="D507" s="4" t="s">
        <v>273</v>
      </c>
      <c r="E507" s="4" t="s">
        <v>857</v>
      </c>
      <c r="F507" s="14">
        <v>1.0</v>
      </c>
      <c r="G507" s="40">
        <v>46174.0</v>
      </c>
    </row>
    <row r="508" ht="15.75" customHeight="1">
      <c r="A508" s="4" t="s">
        <v>93</v>
      </c>
      <c r="B508" s="4" t="s">
        <v>196</v>
      </c>
      <c r="C508" s="4" t="s">
        <v>197</v>
      </c>
      <c r="D508" s="4" t="s">
        <v>273</v>
      </c>
      <c r="E508" s="4" t="s">
        <v>858</v>
      </c>
      <c r="F508" s="14">
        <v>1.0</v>
      </c>
      <c r="G508" s="40">
        <v>46174.0</v>
      </c>
    </row>
    <row r="509" ht="15.75" customHeight="1">
      <c r="A509" s="4" t="s">
        <v>93</v>
      </c>
      <c r="B509" s="4" t="s">
        <v>196</v>
      </c>
      <c r="C509" s="4" t="s">
        <v>197</v>
      </c>
      <c r="D509" s="4" t="s">
        <v>286</v>
      </c>
      <c r="E509" s="4" t="s">
        <v>859</v>
      </c>
      <c r="F509" s="14">
        <v>0.75</v>
      </c>
      <c r="G509" s="40">
        <v>46174.0</v>
      </c>
    </row>
    <row r="510" ht="15.75" customHeight="1">
      <c r="A510" s="4" t="s">
        <v>93</v>
      </c>
      <c r="B510" s="4" t="s">
        <v>196</v>
      </c>
      <c r="C510" s="4" t="s">
        <v>197</v>
      </c>
      <c r="D510" s="4" t="s">
        <v>194</v>
      </c>
      <c r="E510" s="4" t="s">
        <v>860</v>
      </c>
      <c r="F510" s="14">
        <v>0.5</v>
      </c>
      <c r="G510" s="40">
        <v>46174.0</v>
      </c>
    </row>
    <row r="511" ht="15.75" customHeight="1">
      <c r="A511" s="4" t="s">
        <v>93</v>
      </c>
      <c r="B511" s="4" t="s">
        <v>196</v>
      </c>
      <c r="C511" s="4" t="s">
        <v>197</v>
      </c>
      <c r="D511" s="4" t="s">
        <v>194</v>
      </c>
      <c r="E511" s="4" t="s">
        <v>861</v>
      </c>
      <c r="F511" s="14">
        <v>0.5</v>
      </c>
      <c r="G511" s="40">
        <v>46174.0</v>
      </c>
    </row>
    <row r="512" ht="15.75" customHeight="1">
      <c r="A512" s="4" t="s">
        <v>93</v>
      </c>
      <c r="B512" s="4" t="s">
        <v>196</v>
      </c>
      <c r="C512" s="4" t="s">
        <v>197</v>
      </c>
      <c r="D512" s="4" t="s">
        <v>273</v>
      </c>
      <c r="E512" s="4" t="s">
        <v>862</v>
      </c>
      <c r="F512" s="14">
        <v>1.0</v>
      </c>
      <c r="G512" s="40">
        <v>46174.0</v>
      </c>
    </row>
    <row r="513" ht="15.75" customHeight="1">
      <c r="A513" s="4" t="s">
        <v>93</v>
      </c>
      <c r="B513" s="4" t="s">
        <v>196</v>
      </c>
      <c r="C513" s="4" t="s">
        <v>197</v>
      </c>
      <c r="D513" s="4" t="s">
        <v>194</v>
      </c>
      <c r="E513" s="4" t="s">
        <v>863</v>
      </c>
      <c r="F513" s="14">
        <v>0.5</v>
      </c>
      <c r="G513" s="40">
        <v>46174.0</v>
      </c>
    </row>
    <row r="514" ht="15.75" customHeight="1">
      <c r="A514" s="4" t="s">
        <v>93</v>
      </c>
      <c r="B514" s="4" t="s">
        <v>196</v>
      </c>
      <c r="C514" s="4" t="s">
        <v>197</v>
      </c>
      <c r="D514" s="4" t="s">
        <v>273</v>
      </c>
      <c r="E514" s="4" t="s">
        <v>864</v>
      </c>
      <c r="F514" s="14">
        <v>1.0</v>
      </c>
      <c r="G514" s="40">
        <v>46174.0</v>
      </c>
    </row>
    <row r="515" ht="15.75" customHeight="1">
      <c r="A515" s="4" t="s">
        <v>93</v>
      </c>
      <c r="B515" s="4" t="s">
        <v>196</v>
      </c>
      <c r="C515" s="4" t="s">
        <v>197</v>
      </c>
      <c r="D515" s="4" t="s">
        <v>273</v>
      </c>
      <c r="E515" s="4" t="s">
        <v>865</v>
      </c>
      <c r="F515" s="14">
        <v>1.0</v>
      </c>
      <c r="G515" s="40">
        <v>46174.0</v>
      </c>
    </row>
    <row r="516" ht="15.75" customHeight="1">
      <c r="A516" s="4" t="s">
        <v>93</v>
      </c>
      <c r="B516" s="4" t="s">
        <v>196</v>
      </c>
      <c r="C516" s="4" t="s">
        <v>197</v>
      </c>
      <c r="D516" s="4" t="s">
        <v>273</v>
      </c>
      <c r="E516" s="4" t="s">
        <v>866</v>
      </c>
      <c r="F516" s="14">
        <v>1.0</v>
      </c>
      <c r="G516" s="40">
        <v>46174.0</v>
      </c>
    </row>
    <row r="517" ht="15.75" customHeight="1">
      <c r="A517" s="4" t="s">
        <v>93</v>
      </c>
      <c r="B517" s="4" t="s">
        <v>196</v>
      </c>
      <c r="C517" s="4" t="s">
        <v>197</v>
      </c>
      <c r="D517" s="4" t="s">
        <v>273</v>
      </c>
      <c r="E517" s="4" t="s">
        <v>867</v>
      </c>
      <c r="F517" s="14">
        <v>1.0</v>
      </c>
      <c r="G517" s="40">
        <v>46174.0</v>
      </c>
    </row>
    <row r="518" ht="15.75" customHeight="1">
      <c r="A518" s="4" t="s">
        <v>93</v>
      </c>
      <c r="B518" s="4" t="s">
        <v>196</v>
      </c>
      <c r="C518" s="4" t="s">
        <v>197</v>
      </c>
      <c r="D518" s="4" t="s">
        <v>273</v>
      </c>
      <c r="E518" s="4" t="s">
        <v>868</v>
      </c>
      <c r="F518" s="14">
        <v>1.0</v>
      </c>
      <c r="G518" s="40">
        <v>46174.0</v>
      </c>
    </row>
    <row r="519" ht="15.75" customHeight="1">
      <c r="A519" s="4" t="s">
        <v>93</v>
      </c>
      <c r="B519" s="4" t="s">
        <v>196</v>
      </c>
      <c r="C519" s="4" t="s">
        <v>197</v>
      </c>
      <c r="D519" s="4" t="s">
        <v>286</v>
      </c>
      <c r="E519" s="4" t="s">
        <v>869</v>
      </c>
      <c r="F519" s="14">
        <v>0.75</v>
      </c>
      <c r="G519" s="40">
        <v>46174.0</v>
      </c>
    </row>
    <row r="520" ht="15.75" customHeight="1">
      <c r="A520" s="4" t="s">
        <v>93</v>
      </c>
      <c r="B520" s="4" t="s">
        <v>196</v>
      </c>
      <c r="C520" s="4" t="s">
        <v>197</v>
      </c>
      <c r="D520" s="4" t="s">
        <v>273</v>
      </c>
      <c r="E520" s="4" t="s">
        <v>870</v>
      </c>
      <c r="F520" s="14">
        <v>1.0</v>
      </c>
      <c r="G520" s="40">
        <v>46174.0</v>
      </c>
    </row>
    <row r="521" ht="15.75" customHeight="1">
      <c r="A521" s="4" t="s">
        <v>93</v>
      </c>
      <c r="B521" s="4" t="s">
        <v>196</v>
      </c>
      <c r="C521" s="4" t="s">
        <v>197</v>
      </c>
      <c r="D521" s="4" t="s">
        <v>286</v>
      </c>
      <c r="E521" s="4" t="s">
        <v>871</v>
      </c>
      <c r="F521" s="14">
        <v>0.75</v>
      </c>
      <c r="G521" s="40">
        <v>46204.0</v>
      </c>
    </row>
    <row r="522" ht="15.75" customHeight="1">
      <c r="A522" s="4" t="s">
        <v>93</v>
      </c>
      <c r="B522" s="4" t="s">
        <v>196</v>
      </c>
      <c r="C522" s="4" t="s">
        <v>197</v>
      </c>
      <c r="D522" s="4" t="s">
        <v>273</v>
      </c>
      <c r="E522" s="4" t="s">
        <v>872</v>
      </c>
      <c r="F522" s="14">
        <v>1.0</v>
      </c>
      <c r="G522" s="40">
        <v>46204.0</v>
      </c>
    </row>
    <row r="523" ht="15.75" customHeight="1">
      <c r="A523" s="4" t="s">
        <v>93</v>
      </c>
      <c r="B523" s="4" t="s">
        <v>196</v>
      </c>
      <c r="C523" s="4" t="s">
        <v>197</v>
      </c>
      <c r="D523" s="4" t="s">
        <v>283</v>
      </c>
      <c r="E523" s="4" t="s">
        <v>873</v>
      </c>
      <c r="F523" s="14">
        <v>1.5</v>
      </c>
      <c r="G523" s="40">
        <v>46204.0</v>
      </c>
    </row>
    <row r="524" ht="15.75" customHeight="1">
      <c r="A524" s="4" t="s">
        <v>93</v>
      </c>
      <c r="B524" s="4" t="s">
        <v>196</v>
      </c>
      <c r="C524" s="4" t="s">
        <v>197</v>
      </c>
      <c r="D524" s="4" t="s">
        <v>422</v>
      </c>
      <c r="E524" s="4" t="s">
        <v>874</v>
      </c>
      <c r="F524" s="14">
        <v>2.5</v>
      </c>
      <c r="G524" s="40">
        <v>46204.0</v>
      </c>
    </row>
    <row r="525" ht="15.75" customHeight="1">
      <c r="A525" s="4" t="s">
        <v>93</v>
      </c>
      <c r="B525" s="4" t="s">
        <v>196</v>
      </c>
      <c r="C525" s="4" t="s">
        <v>197</v>
      </c>
      <c r="D525" s="4" t="s">
        <v>875</v>
      </c>
      <c r="E525" s="4" t="s">
        <v>876</v>
      </c>
      <c r="F525" s="14">
        <v>5.5</v>
      </c>
      <c r="G525" s="40">
        <v>46204.0</v>
      </c>
    </row>
    <row r="526" ht="15.75" customHeight="1">
      <c r="A526" s="4" t="s">
        <v>93</v>
      </c>
      <c r="B526" s="4" t="s">
        <v>196</v>
      </c>
      <c r="C526" s="4" t="s">
        <v>197</v>
      </c>
      <c r="D526" s="4" t="s">
        <v>363</v>
      </c>
      <c r="E526" s="4" t="s">
        <v>877</v>
      </c>
      <c r="F526" s="14">
        <v>2.0</v>
      </c>
      <c r="G526" s="40">
        <v>46204.0</v>
      </c>
    </row>
    <row r="527" ht="15.75" customHeight="1">
      <c r="A527" s="4" t="s">
        <v>93</v>
      </c>
      <c r="B527" s="4" t="s">
        <v>196</v>
      </c>
      <c r="C527" s="4" t="s">
        <v>197</v>
      </c>
      <c r="D527" s="4" t="s">
        <v>283</v>
      </c>
      <c r="E527" s="4" t="s">
        <v>878</v>
      </c>
      <c r="F527" s="14">
        <v>1.5</v>
      </c>
      <c r="G527" s="40">
        <v>46204.0</v>
      </c>
    </row>
    <row r="528" ht="15.75" customHeight="1">
      <c r="A528" s="4" t="s">
        <v>93</v>
      </c>
      <c r="B528" s="4" t="s">
        <v>196</v>
      </c>
      <c r="C528" s="4" t="s">
        <v>197</v>
      </c>
      <c r="D528" s="4" t="s">
        <v>273</v>
      </c>
      <c r="E528" s="4" t="s">
        <v>879</v>
      </c>
      <c r="F528" s="14">
        <v>1.0</v>
      </c>
      <c r="G528" s="40">
        <v>46204.0</v>
      </c>
    </row>
    <row r="529" ht="15.75" customHeight="1">
      <c r="A529" s="4" t="s">
        <v>93</v>
      </c>
      <c r="B529" s="4" t="s">
        <v>196</v>
      </c>
      <c r="C529" s="4" t="s">
        <v>197</v>
      </c>
      <c r="D529" s="4" t="s">
        <v>283</v>
      </c>
      <c r="E529" s="4" t="s">
        <v>880</v>
      </c>
      <c r="F529" s="14">
        <v>1.5</v>
      </c>
      <c r="G529" s="40">
        <v>46204.0</v>
      </c>
    </row>
    <row r="530" ht="15.75" customHeight="1">
      <c r="A530" s="4" t="s">
        <v>93</v>
      </c>
      <c r="B530" s="4" t="s">
        <v>196</v>
      </c>
      <c r="C530" s="4" t="s">
        <v>197</v>
      </c>
      <c r="D530" s="4" t="s">
        <v>194</v>
      </c>
      <c r="E530" s="4" t="s">
        <v>881</v>
      </c>
      <c r="F530" s="14">
        <v>0.5</v>
      </c>
      <c r="G530" s="40">
        <v>46204.0</v>
      </c>
    </row>
    <row r="531" ht="15.75" customHeight="1">
      <c r="A531" s="4" t="s">
        <v>93</v>
      </c>
      <c r="B531" s="4" t="s">
        <v>196</v>
      </c>
      <c r="C531" s="4" t="s">
        <v>197</v>
      </c>
      <c r="D531" s="4" t="s">
        <v>194</v>
      </c>
      <c r="E531" s="4" t="s">
        <v>882</v>
      </c>
      <c r="F531" s="14">
        <v>0.5</v>
      </c>
      <c r="G531" s="40">
        <v>46204.0</v>
      </c>
    </row>
    <row r="532" ht="15.75" customHeight="1">
      <c r="A532" s="4" t="s">
        <v>93</v>
      </c>
      <c r="B532" s="4" t="s">
        <v>196</v>
      </c>
      <c r="C532" s="4" t="s">
        <v>197</v>
      </c>
      <c r="D532" s="4" t="s">
        <v>273</v>
      </c>
      <c r="E532" s="4" t="s">
        <v>883</v>
      </c>
      <c r="F532" s="14">
        <v>1.0</v>
      </c>
      <c r="G532" s="40">
        <v>46204.0</v>
      </c>
    </row>
    <row r="533" ht="15.75" customHeight="1">
      <c r="A533" s="4" t="s">
        <v>93</v>
      </c>
      <c r="B533" s="4" t="s">
        <v>196</v>
      </c>
      <c r="C533" s="4" t="s">
        <v>197</v>
      </c>
      <c r="D533" s="4" t="s">
        <v>283</v>
      </c>
      <c r="E533" s="4" t="s">
        <v>884</v>
      </c>
      <c r="F533" s="14">
        <v>1.5</v>
      </c>
      <c r="G533" s="40">
        <v>46204.0</v>
      </c>
    </row>
    <row r="534" ht="15.75" customHeight="1">
      <c r="A534" s="4" t="s">
        <v>93</v>
      </c>
      <c r="B534" s="4" t="s">
        <v>196</v>
      </c>
      <c r="C534" s="4" t="s">
        <v>197</v>
      </c>
      <c r="D534" s="4" t="s">
        <v>194</v>
      </c>
      <c r="E534" s="4" t="s">
        <v>885</v>
      </c>
      <c r="F534" s="14">
        <v>0.5</v>
      </c>
      <c r="G534" s="40">
        <v>46204.0</v>
      </c>
    </row>
    <row r="535" ht="15.75" customHeight="1">
      <c r="A535" s="4" t="s">
        <v>93</v>
      </c>
      <c r="B535" s="4" t="s">
        <v>196</v>
      </c>
      <c r="C535" s="4" t="s">
        <v>197</v>
      </c>
      <c r="D535" s="4" t="s">
        <v>273</v>
      </c>
      <c r="E535" s="4" t="s">
        <v>886</v>
      </c>
      <c r="F535" s="14">
        <v>1.0</v>
      </c>
      <c r="G535" s="40">
        <v>46204.0</v>
      </c>
    </row>
    <row r="536" ht="15.75" customHeight="1">
      <c r="A536" s="4" t="s">
        <v>93</v>
      </c>
      <c r="B536" s="4" t="s">
        <v>196</v>
      </c>
      <c r="C536" s="4" t="s">
        <v>197</v>
      </c>
      <c r="D536" s="4" t="s">
        <v>273</v>
      </c>
      <c r="E536" s="4" t="s">
        <v>887</v>
      </c>
      <c r="F536" s="14">
        <v>1.0</v>
      </c>
      <c r="G536" s="40">
        <v>46204.0</v>
      </c>
    </row>
    <row r="537" ht="15.75" customHeight="1">
      <c r="A537" s="4" t="s">
        <v>93</v>
      </c>
      <c r="B537" s="4" t="s">
        <v>196</v>
      </c>
      <c r="C537" s="4" t="s">
        <v>197</v>
      </c>
      <c r="D537" s="4" t="s">
        <v>194</v>
      </c>
      <c r="E537" s="4" t="s">
        <v>888</v>
      </c>
      <c r="F537" s="14">
        <v>0.5</v>
      </c>
      <c r="G537" s="40">
        <v>46204.0</v>
      </c>
    </row>
    <row r="538" ht="15.75" customHeight="1">
      <c r="A538" s="4" t="s">
        <v>93</v>
      </c>
      <c r="B538" s="4" t="s">
        <v>196</v>
      </c>
      <c r="C538" s="4" t="s">
        <v>197</v>
      </c>
      <c r="D538" s="4" t="s">
        <v>363</v>
      </c>
      <c r="E538" s="4" t="s">
        <v>889</v>
      </c>
      <c r="F538" s="14">
        <v>2.0</v>
      </c>
      <c r="G538" s="40">
        <v>46204.0</v>
      </c>
    </row>
    <row r="539" ht="15.75" customHeight="1">
      <c r="A539" s="4" t="s">
        <v>93</v>
      </c>
      <c r="B539" s="4" t="s">
        <v>196</v>
      </c>
      <c r="C539" s="4" t="s">
        <v>197</v>
      </c>
      <c r="D539" s="4" t="s">
        <v>273</v>
      </c>
      <c r="E539" s="4" t="s">
        <v>890</v>
      </c>
      <c r="F539" s="14">
        <v>1.0</v>
      </c>
      <c r="G539" s="40">
        <v>46204.0</v>
      </c>
    </row>
    <row r="540" ht="15.75" customHeight="1">
      <c r="A540" s="4" t="s">
        <v>93</v>
      </c>
      <c r="B540" s="4" t="s">
        <v>196</v>
      </c>
      <c r="C540" s="4" t="s">
        <v>197</v>
      </c>
      <c r="D540" s="4" t="s">
        <v>273</v>
      </c>
      <c r="E540" s="4" t="s">
        <v>891</v>
      </c>
      <c r="F540" s="14">
        <v>1.0</v>
      </c>
      <c r="G540" s="40">
        <v>46204.0</v>
      </c>
    </row>
    <row r="541" ht="15.75" customHeight="1">
      <c r="A541" s="4" t="s">
        <v>93</v>
      </c>
      <c r="B541" s="4" t="s">
        <v>196</v>
      </c>
      <c r="C541" s="4" t="s">
        <v>197</v>
      </c>
      <c r="D541" s="4" t="s">
        <v>194</v>
      </c>
      <c r="E541" s="4" t="s">
        <v>892</v>
      </c>
      <c r="F541" s="14">
        <v>0.5</v>
      </c>
      <c r="G541" s="40">
        <v>46204.0</v>
      </c>
    </row>
    <row r="542" ht="15.75" customHeight="1">
      <c r="A542" s="4" t="s">
        <v>93</v>
      </c>
      <c r="B542" s="4" t="s">
        <v>196</v>
      </c>
      <c r="C542" s="4" t="s">
        <v>197</v>
      </c>
      <c r="D542" s="4" t="s">
        <v>194</v>
      </c>
      <c r="E542" s="4" t="s">
        <v>893</v>
      </c>
      <c r="F542" s="14">
        <v>0.5</v>
      </c>
      <c r="G542" s="40">
        <v>46204.0</v>
      </c>
    </row>
    <row r="543" ht="15.75" customHeight="1">
      <c r="A543" s="4" t="s">
        <v>93</v>
      </c>
      <c r="B543" s="4" t="s">
        <v>196</v>
      </c>
      <c r="C543" s="4" t="s">
        <v>197</v>
      </c>
      <c r="D543" s="4" t="s">
        <v>273</v>
      </c>
      <c r="E543" s="4" t="s">
        <v>894</v>
      </c>
      <c r="F543" s="14">
        <v>1.0</v>
      </c>
      <c r="G543" s="40">
        <v>46204.0</v>
      </c>
    </row>
    <row r="544" ht="15.75" customHeight="1">
      <c r="A544" s="4" t="s">
        <v>93</v>
      </c>
      <c r="B544" s="4" t="s">
        <v>196</v>
      </c>
      <c r="C544" s="4" t="s">
        <v>197</v>
      </c>
      <c r="D544" s="4" t="s">
        <v>363</v>
      </c>
      <c r="E544" s="4" t="s">
        <v>895</v>
      </c>
      <c r="F544" s="14">
        <v>2.0</v>
      </c>
      <c r="G544" s="40">
        <v>46204.0</v>
      </c>
    </row>
    <row r="545" ht="15.75" customHeight="1">
      <c r="A545" s="4" t="s">
        <v>93</v>
      </c>
      <c r="B545" s="4" t="s">
        <v>196</v>
      </c>
      <c r="C545" s="4" t="s">
        <v>197</v>
      </c>
      <c r="D545" s="4" t="s">
        <v>194</v>
      </c>
      <c r="E545" s="4" t="s">
        <v>896</v>
      </c>
      <c r="F545" s="14">
        <v>0.5</v>
      </c>
      <c r="G545" s="40">
        <v>46204.0</v>
      </c>
    </row>
    <row r="546" ht="15.75" customHeight="1">
      <c r="A546" s="4" t="s">
        <v>93</v>
      </c>
      <c r="B546" s="4" t="s">
        <v>196</v>
      </c>
      <c r="C546" s="4" t="s">
        <v>197</v>
      </c>
      <c r="D546" s="4" t="s">
        <v>273</v>
      </c>
      <c r="E546" s="4" t="s">
        <v>897</v>
      </c>
      <c r="F546" s="14">
        <v>1.0</v>
      </c>
      <c r="G546" s="40">
        <v>46204.0</v>
      </c>
    </row>
    <row r="547" ht="15.75" customHeight="1">
      <c r="A547" s="4" t="s">
        <v>93</v>
      </c>
      <c r="B547" s="4" t="s">
        <v>196</v>
      </c>
      <c r="C547" s="4" t="s">
        <v>197</v>
      </c>
      <c r="D547" s="4" t="s">
        <v>194</v>
      </c>
      <c r="E547" s="4" t="s">
        <v>898</v>
      </c>
      <c r="F547" s="14">
        <v>0.5</v>
      </c>
      <c r="G547" s="40">
        <v>46204.0</v>
      </c>
    </row>
    <row r="548" ht="15.75" customHeight="1">
      <c r="A548" s="4" t="s">
        <v>93</v>
      </c>
      <c r="B548" s="4" t="s">
        <v>196</v>
      </c>
      <c r="C548" s="4" t="s">
        <v>197</v>
      </c>
      <c r="D548" s="4" t="s">
        <v>194</v>
      </c>
      <c r="E548" s="4" t="s">
        <v>899</v>
      </c>
      <c r="F548" s="14">
        <v>0.5</v>
      </c>
      <c r="G548" s="40">
        <v>46204.0</v>
      </c>
    </row>
    <row r="549" ht="15.75" customHeight="1">
      <c r="A549" s="4" t="s">
        <v>93</v>
      </c>
      <c r="B549" s="4" t="s">
        <v>192</v>
      </c>
      <c r="C549" s="4" t="s">
        <v>193</v>
      </c>
      <c r="D549" s="4" t="s">
        <v>194</v>
      </c>
      <c r="E549" s="4" t="s">
        <v>900</v>
      </c>
      <c r="F549" s="14">
        <v>0.5</v>
      </c>
      <c r="G549" s="40">
        <v>46023.0</v>
      </c>
    </row>
    <row r="550" ht="15.75" customHeight="1">
      <c r="A550" s="4" t="s">
        <v>93</v>
      </c>
      <c r="B550" s="4" t="s">
        <v>192</v>
      </c>
      <c r="C550" s="4" t="s">
        <v>193</v>
      </c>
      <c r="D550" s="4" t="s">
        <v>194</v>
      </c>
      <c r="E550" s="4" t="s">
        <v>901</v>
      </c>
      <c r="F550" s="14">
        <v>0.5</v>
      </c>
      <c r="G550" s="40">
        <v>46023.0</v>
      </c>
    </row>
    <row r="551" ht="15.75" customHeight="1">
      <c r="A551" s="4" t="s">
        <v>93</v>
      </c>
      <c r="B551" s="4" t="s">
        <v>192</v>
      </c>
      <c r="C551" s="4" t="s">
        <v>193</v>
      </c>
      <c r="D551" s="4" t="s">
        <v>273</v>
      </c>
      <c r="E551" s="4" t="s">
        <v>902</v>
      </c>
      <c r="F551" s="14">
        <v>1.0</v>
      </c>
      <c r="G551" s="40">
        <v>46023.0</v>
      </c>
    </row>
    <row r="552" ht="15.75" customHeight="1">
      <c r="A552" s="4" t="s">
        <v>93</v>
      </c>
      <c r="B552" s="4" t="s">
        <v>192</v>
      </c>
      <c r="C552" s="4" t="s">
        <v>193</v>
      </c>
      <c r="D552" s="4" t="s">
        <v>273</v>
      </c>
      <c r="E552" s="4" t="s">
        <v>903</v>
      </c>
      <c r="F552" s="14">
        <v>1.0</v>
      </c>
      <c r="G552" s="40">
        <v>46023.0</v>
      </c>
    </row>
    <row r="553" ht="15.75" customHeight="1">
      <c r="A553" s="4" t="s">
        <v>93</v>
      </c>
      <c r="B553" s="4" t="s">
        <v>192</v>
      </c>
      <c r="C553" s="4" t="s">
        <v>193</v>
      </c>
      <c r="D553" s="4" t="s">
        <v>283</v>
      </c>
      <c r="E553" s="4" t="s">
        <v>904</v>
      </c>
      <c r="F553" s="14">
        <v>1.5</v>
      </c>
      <c r="G553" s="40">
        <v>46023.0</v>
      </c>
    </row>
    <row r="554" ht="15.75" customHeight="1">
      <c r="A554" s="4" t="s">
        <v>93</v>
      </c>
      <c r="B554" s="4" t="s">
        <v>192</v>
      </c>
      <c r="C554" s="4" t="s">
        <v>193</v>
      </c>
      <c r="D554" s="4" t="s">
        <v>194</v>
      </c>
      <c r="E554" s="4" t="s">
        <v>905</v>
      </c>
      <c r="F554" s="14">
        <v>0.5</v>
      </c>
      <c r="G554" s="40">
        <v>46023.0</v>
      </c>
    </row>
    <row r="555" ht="15.75" customHeight="1">
      <c r="A555" s="4" t="s">
        <v>93</v>
      </c>
      <c r="B555" s="4" t="s">
        <v>192</v>
      </c>
      <c r="C555" s="4" t="s">
        <v>193</v>
      </c>
      <c r="D555" s="4" t="s">
        <v>194</v>
      </c>
      <c r="E555" s="4" t="s">
        <v>906</v>
      </c>
      <c r="F555" s="14">
        <v>0.5</v>
      </c>
      <c r="G555" s="40">
        <v>46023.0</v>
      </c>
    </row>
    <row r="556" ht="15.75" customHeight="1">
      <c r="A556" s="4" t="s">
        <v>93</v>
      </c>
      <c r="B556" s="4" t="s">
        <v>192</v>
      </c>
      <c r="C556" s="4" t="s">
        <v>193</v>
      </c>
      <c r="D556" s="4" t="s">
        <v>194</v>
      </c>
      <c r="E556" s="4" t="s">
        <v>907</v>
      </c>
      <c r="F556" s="14">
        <v>0.5</v>
      </c>
      <c r="G556" s="40">
        <v>46023.0</v>
      </c>
    </row>
    <row r="557" ht="15.75" customHeight="1">
      <c r="A557" s="4" t="s">
        <v>93</v>
      </c>
      <c r="B557" s="4" t="s">
        <v>192</v>
      </c>
      <c r="C557" s="4" t="s">
        <v>193</v>
      </c>
      <c r="D557" s="4" t="s">
        <v>194</v>
      </c>
      <c r="E557" s="4" t="s">
        <v>908</v>
      </c>
      <c r="F557" s="14">
        <v>0.5</v>
      </c>
      <c r="G557" s="40">
        <v>46023.0</v>
      </c>
    </row>
    <row r="558" ht="15.75" customHeight="1">
      <c r="A558" s="4" t="s">
        <v>93</v>
      </c>
      <c r="B558" s="4" t="s">
        <v>192</v>
      </c>
      <c r="C558" s="4" t="s">
        <v>193</v>
      </c>
      <c r="D558" s="4" t="s">
        <v>283</v>
      </c>
      <c r="E558" s="4" t="s">
        <v>909</v>
      </c>
      <c r="F558" s="14">
        <v>1.5</v>
      </c>
      <c r="G558" s="40">
        <v>46023.0</v>
      </c>
    </row>
    <row r="559" ht="15.75" customHeight="1">
      <c r="A559" s="4" t="s">
        <v>93</v>
      </c>
      <c r="B559" s="4" t="s">
        <v>192</v>
      </c>
      <c r="C559" s="4" t="s">
        <v>193</v>
      </c>
      <c r="D559" s="4" t="s">
        <v>194</v>
      </c>
      <c r="E559" s="4" t="s">
        <v>910</v>
      </c>
      <c r="F559" s="14">
        <v>0.5</v>
      </c>
      <c r="G559" s="40">
        <v>46023.0</v>
      </c>
    </row>
    <row r="560" ht="15.75" customHeight="1">
      <c r="A560" s="4" t="s">
        <v>93</v>
      </c>
      <c r="B560" s="4" t="s">
        <v>192</v>
      </c>
      <c r="C560" s="4" t="s">
        <v>193</v>
      </c>
      <c r="D560" s="4" t="s">
        <v>194</v>
      </c>
      <c r="E560" s="4" t="s">
        <v>911</v>
      </c>
      <c r="F560" s="14">
        <v>0.5</v>
      </c>
      <c r="G560" s="40">
        <v>46023.0</v>
      </c>
    </row>
    <row r="561" ht="15.75" customHeight="1">
      <c r="A561" s="4" t="s">
        <v>93</v>
      </c>
      <c r="B561" s="4" t="s">
        <v>192</v>
      </c>
      <c r="C561" s="4" t="s">
        <v>193</v>
      </c>
      <c r="D561" s="4" t="s">
        <v>420</v>
      </c>
      <c r="E561" s="4" t="s">
        <v>912</v>
      </c>
      <c r="F561" s="14">
        <v>0.25</v>
      </c>
      <c r="G561" s="40">
        <v>46023.0</v>
      </c>
    </row>
    <row r="562" ht="15.75" customHeight="1">
      <c r="A562" s="4" t="s">
        <v>93</v>
      </c>
      <c r="B562" s="4" t="s">
        <v>192</v>
      </c>
      <c r="C562" s="4" t="s">
        <v>193</v>
      </c>
      <c r="D562" s="4" t="s">
        <v>194</v>
      </c>
      <c r="E562" s="4" t="s">
        <v>913</v>
      </c>
      <c r="F562" s="14">
        <v>0.5</v>
      </c>
      <c r="G562" s="40">
        <v>46054.0</v>
      </c>
    </row>
    <row r="563" ht="15.75" customHeight="1">
      <c r="A563" s="4" t="s">
        <v>93</v>
      </c>
      <c r="B563" s="4" t="s">
        <v>192</v>
      </c>
      <c r="C563" s="4" t="s">
        <v>193</v>
      </c>
      <c r="D563" s="4" t="s">
        <v>420</v>
      </c>
      <c r="E563" s="4" t="s">
        <v>914</v>
      </c>
      <c r="F563" s="14">
        <v>0.25</v>
      </c>
      <c r="G563" s="40">
        <v>46054.0</v>
      </c>
    </row>
    <row r="564" ht="15.75" customHeight="1">
      <c r="A564" s="4" t="s">
        <v>93</v>
      </c>
      <c r="B564" s="4" t="s">
        <v>192</v>
      </c>
      <c r="C564" s="4" t="s">
        <v>193</v>
      </c>
      <c r="D564" s="4" t="s">
        <v>194</v>
      </c>
      <c r="E564" s="4" t="s">
        <v>915</v>
      </c>
      <c r="F564" s="14">
        <v>0.5</v>
      </c>
      <c r="G564" s="40">
        <v>46054.0</v>
      </c>
    </row>
    <row r="565" ht="15.75" customHeight="1">
      <c r="A565" s="4" t="s">
        <v>93</v>
      </c>
      <c r="B565" s="4" t="s">
        <v>192</v>
      </c>
      <c r="C565" s="4" t="s">
        <v>193</v>
      </c>
      <c r="D565" s="4" t="s">
        <v>194</v>
      </c>
      <c r="E565" s="4" t="s">
        <v>916</v>
      </c>
      <c r="F565" s="14">
        <v>0.5</v>
      </c>
      <c r="G565" s="40">
        <v>46113.0</v>
      </c>
    </row>
    <row r="566" ht="15.75" customHeight="1">
      <c r="A566" s="4" t="s">
        <v>93</v>
      </c>
      <c r="B566" s="4" t="s">
        <v>192</v>
      </c>
      <c r="C566" s="4" t="s">
        <v>193</v>
      </c>
      <c r="D566" s="4" t="s">
        <v>273</v>
      </c>
      <c r="E566" s="4" t="s">
        <v>917</v>
      </c>
      <c r="F566" s="14">
        <v>1.0</v>
      </c>
      <c r="G566" s="40">
        <v>46143.0</v>
      </c>
    </row>
    <row r="567" ht="15.75" customHeight="1">
      <c r="A567" s="4" t="s">
        <v>93</v>
      </c>
      <c r="B567" s="4" t="s">
        <v>192</v>
      </c>
      <c r="C567" s="4" t="s">
        <v>193</v>
      </c>
      <c r="D567" s="4" t="s">
        <v>273</v>
      </c>
      <c r="E567" s="4" t="s">
        <v>918</v>
      </c>
      <c r="F567" s="14">
        <v>1.0</v>
      </c>
      <c r="G567" s="40">
        <v>46143.0</v>
      </c>
    </row>
    <row r="568" ht="15.75" customHeight="1">
      <c r="A568" s="4" t="s">
        <v>93</v>
      </c>
      <c r="B568" s="4" t="s">
        <v>192</v>
      </c>
      <c r="C568" s="4" t="s">
        <v>193</v>
      </c>
      <c r="D568" s="4" t="s">
        <v>273</v>
      </c>
      <c r="E568" s="4" t="s">
        <v>919</v>
      </c>
      <c r="F568" s="14">
        <v>1.0</v>
      </c>
      <c r="G568" s="40">
        <v>46143.0</v>
      </c>
    </row>
    <row r="569" ht="15.75" customHeight="1">
      <c r="A569" s="4" t="s">
        <v>93</v>
      </c>
      <c r="B569" s="4" t="s">
        <v>192</v>
      </c>
      <c r="C569" s="4" t="s">
        <v>193</v>
      </c>
      <c r="D569" s="4" t="s">
        <v>194</v>
      </c>
      <c r="E569" s="4" t="s">
        <v>920</v>
      </c>
      <c r="F569" s="14">
        <v>0.5</v>
      </c>
      <c r="G569" s="40">
        <v>46143.0</v>
      </c>
    </row>
    <row r="570" ht="15.75" customHeight="1">
      <c r="A570" s="4" t="s">
        <v>93</v>
      </c>
      <c r="B570" s="4" t="s">
        <v>192</v>
      </c>
      <c r="C570" s="4" t="s">
        <v>193</v>
      </c>
      <c r="D570" s="4" t="s">
        <v>194</v>
      </c>
      <c r="E570" s="4" t="s">
        <v>921</v>
      </c>
      <c r="F570" s="14">
        <v>0.5</v>
      </c>
      <c r="G570" s="40">
        <v>46174.0</v>
      </c>
    </row>
    <row r="571" ht="15.75" customHeight="1">
      <c r="A571" s="4" t="s">
        <v>93</v>
      </c>
      <c r="B571" s="4" t="s">
        <v>189</v>
      </c>
      <c r="C571" s="4" t="s">
        <v>190</v>
      </c>
      <c r="D571" s="4" t="s">
        <v>420</v>
      </c>
      <c r="E571" s="4" t="s">
        <v>922</v>
      </c>
      <c r="F571" s="14">
        <v>0.25</v>
      </c>
      <c r="G571" s="40">
        <v>46023.0</v>
      </c>
    </row>
    <row r="572" ht="15.75" customHeight="1">
      <c r="A572" s="4" t="s">
        <v>93</v>
      </c>
      <c r="B572" s="4" t="s">
        <v>189</v>
      </c>
      <c r="C572" s="4" t="s">
        <v>190</v>
      </c>
      <c r="D572" s="4" t="s">
        <v>273</v>
      </c>
      <c r="E572" s="4" t="s">
        <v>923</v>
      </c>
      <c r="F572" s="14">
        <v>1.0</v>
      </c>
      <c r="G572" s="40">
        <v>46023.0</v>
      </c>
    </row>
    <row r="573" ht="15.75" customHeight="1">
      <c r="A573" s="4" t="s">
        <v>93</v>
      </c>
      <c r="B573" s="4" t="s">
        <v>189</v>
      </c>
      <c r="C573" s="4" t="s">
        <v>190</v>
      </c>
      <c r="D573" s="4" t="s">
        <v>273</v>
      </c>
      <c r="E573" s="4" t="s">
        <v>924</v>
      </c>
      <c r="F573" s="14">
        <v>1.0</v>
      </c>
      <c r="G573" s="40">
        <v>46023.0</v>
      </c>
    </row>
    <row r="574" ht="15.75" customHeight="1">
      <c r="A574" s="4" t="s">
        <v>93</v>
      </c>
      <c r="B574" s="4" t="s">
        <v>189</v>
      </c>
      <c r="C574" s="4" t="s">
        <v>190</v>
      </c>
      <c r="D574" s="4" t="s">
        <v>422</v>
      </c>
      <c r="E574" s="4" t="s">
        <v>925</v>
      </c>
      <c r="F574" s="14">
        <v>2.5</v>
      </c>
      <c r="G574" s="40">
        <v>46023.0</v>
      </c>
    </row>
    <row r="575" ht="15.75" customHeight="1">
      <c r="A575" s="4" t="s">
        <v>93</v>
      </c>
      <c r="B575" s="4" t="s">
        <v>189</v>
      </c>
      <c r="C575" s="4" t="s">
        <v>190</v>
      </c>
      <c r="D575" s="4" t="s">
        <v>194</v>
      </c>
      <c r="E575" s="4" t="s">
        <v>926</v>
      </c>
      <c r="F575" s="14">
        <v>0.5</v>
      </c>
      <c r="G575" s="40">
        <v>46023.0</v>
      </c>
    </row>
    <row r="576" ht="15.75" customHeight="1">
      <c r="A576" s="4" t="s">
        <v>93</v>
      </c>
      <c r="B576" s="4" t="s">
        <v>189</v>
      </c>
      <c r="C576" s="4" t="s">
        <v>190</v>
      </c>
      <c r="D576" s="4" t="s">
        <v>194</v>
      </c>
      <c r="E576" s="4" t="s">
        <v>927</v>
      </c>
      <c r="F576" s="14">
        <v>0.5</v>
      </c>
      <c r="G576" s="40">
        <v>46023.0</v>
      </c>
    </row>
    <row r="577" ht="15.75" customHeight="1">
      <c r="A577" s="4" t="s">
        <v>93</v>
      </c>
      <c r="B577" s="4" t="s">
        <v>189</v>
      </c>
      <c r="C577" s="4" t="s">
        <v>190</v>
      </c>
      <c r="D577" s="4" t="s">
        <v>194</v>
      </c>
      <c r="E577" s="4" t="s">
        <v>928</v>
      </c>
      <c r="F577" s="14">
        <v>0.5</v>
      </c>
      <c r="G577" s="40">
        <v>46023.0</v>
      </c>
    </row>
    <row r="578" ht="15.75" customHeight="1">
      <c r="A578" s="4" t="s">
        <v>93</v>
      </c>
      <c r="B578" s="4" t="s">
        <v>189</v>
      </c>
      <c r="C578" s="4" t="s">
        <v>190</v>
      </c>
      <c r="D578" s="4" t="s">
        <v>273</v>
      </c>
      <c r="E578" s="4" t="s">
        <v>929</v>
      </c>
      <c r="F578" s="14">
        <v>1.0</v>
      </c>
      <c r="G578" s="40">
        <v>46023.0</v>
      </c>
    </row>
    <row r="579" ht="15.75" customHeight="1">
      <c r="A579" s="4" t="s">
        <v>93</v>
      </c>
      <c r="B579" s="4" t="s">
        <v>189</v>
      </c>
      <c r="C579" s="4" t="s">
        <v>190</v>
      </c>
      <c r="D579" s="4" t="s">
        <v>194</v>
      </c>
      <c r="E579" s="4" t="s">
        <v>930</v>
      </c>
      <c r="F579" s="14">
        <v>0.5</v>
      </c>
      <c r="G579" s="40">
        <v>46023.0</v>
      </c>
    </row>
    <row r="580" ht="15.75" customHeight="1">
      <c r="A580" s="4" t="s">
        <v>93</v>
      </c>
      <c r="B580" s="4" t="s">
        <v>189</v>
      </c>
      <c r="C580" s="4" t="s">
        <v>190</v>
      </c>
      <c r="D580" s="4" t="s">
        <v>194</v>
      </c>
      <c r="E580" s="4" t="s">
        <v>931</v>
      </c>
      <c r="F580" s="14">
        <v>0.5</v>
      </c>
      <c r="G580" s="40">
        <v>46023.0</v>
      </c>
    </row>
    <row r="581" ht="15.75" customHeight="1">
      <c r="A581" s="4" t="s">
        <v>93</v>
      </c>
      <c r="B581" s="4" t="s">
        <v>189</v>
      </c>
      <c r="C581" s="4" t="s">
        <v>190</v>
      </c>
      <c r="D581" s="4" t="s">
        <v>194</v>
      </c>
      <c r="E581" s="4" t="s">
        <v>932</v>
      </c>
      <c r="F581" s="14">
        <v>0.5</v>
      </c>
      <c r="G581" s="40">
        <v>46023.0</v>
      </c>
    </row>
    <row r="582" ht="15.75" customHeight="1">
      <c r="A582" s="4" t="s">
        <v>93</v>
      </c>
      <c r="B582" s="4" t="s">
        <v>189</v>
      </c>
      <c r="C582" s="4" t="s">
        <v>190</v>
      </c>
      <c r="D582" s="4" t="s">
        <v>273</v>
      </c>
      <c r="E582" s="4" t="s">
        <v>933</v>
      </c>
      <c r="F582" s="14">
        <v>1.0</v>
      </c>
      <c r="G582" s="40">
        <v>46023.0</v>
      </c>
    </row>
    <row r="583" ht="15.75" customHeight="1">
      <c r="A583" s="4" t="s">
        <v>93</v>
      </c>
      <c r="B583" s="4" t="s">
        <v>189</v>
      </c>
      <c r="C583" s="4" t="s">
        <v>190</v>
      </c>
      <c r="D583" s="4" t="s">
        <v>194</v>
      </c>
      <c r="E583" s="4" t="s">
        <v>934</v>
      </c>
      <c r="F583" s="14">
        <v>0.5</v>
      </c>
      <c r="G583" s="40">
        <v>46054.0</v>
      </c>
    </row>
    <row r="584" ht="15.75" customHeight="1">
      <c r="A584" s="4" t="s">
        <v>93</v>
      </c>
      <c r="B584" s="4" t="s">
        <v>189</v>
      </c>
      <c r="C584" s="4" t="s">
        <v>190</v>
      </c>
      <c r="D584" s="4" t="s">
        <v>194</v>
      </c>
      <c r="E584" s="4" t="s">
        <v>935</v>
      </c>
      <c r="F584" s="14">
        <v>0.5</v>
      </c>
      <c r="G584" s="40">
        <v>46054.0</v>
      </c>
    </row>
    <row r="585" ht="15.75" customHeight="1">
      <c r="A585" s="4" t="s">
        <v>93</v>
      </c>
      <c r="B585" s="4" t="s">
        <v>189</v>
      </c>
      <c r="C585" s="4" t="s">
        <v>190</v>
      </c>
      <c r="D585" s="4" t="s">
        <v>194</v>
      </c>
      <c r="E585" s="4" t="s">
        <v>936</v>
      </c>
      <c r="F585" s="14">
        <v>0.5</v>
      </c>
      <c r="G585" s="40">
        <v>46054.0</v>
      </c>
    </row>
    <row r="586" ht="15.75" customHeight="1">
      <c r="A586" s="4" t="s">
        <v>93</v>
      </c>
      <c r="B586" s="4" t="s">
        <v>189</v>
      </c>
      <c r="C586" s="4" t="s">
        <v>190</v>
      </c>
      <c r="D586" s="4" t="s">
        <v>273</v>
      </c>
      <c r="E586" s="4" t="s">
        <v>937</v>
      </c>
      <c r="F586" s="14">
        <v>1.0</v>
      </c>
      <c r="G586" s="40">
        <v>46054.0</v>
      </c>
    </row>
    <row r="587" ht="15.75" customHeight="1">
      <c r="A587" s="4" t="s">
        <v>93</v>
      </c>
      <c r="B587" s="4" t="s">
        <v>189</v>
      </c>
      <c r="C587" s="4" t="s">
        <v>190</v>
      </c>
      <c r="D587" s="4" t="s">
        <v>273</v>
      </c>
      <c r="E587" s="4" t="s">
        <v>938</v>
      </c>
      <c r="F587" s="14">
        <v>1.0</v>
      </c>
      <c r="G587" s="40">
        <v>46054.0</v>
      </c>
    </row>
    <row r="588" ht="15.75" customHeight="1">
      <c r="A588" s="4" t="s">
        <v>93</v>
      </c>
      <c r="B588" s="4" t="s">
        <v>189</v>
      </c>
      <c r="C588" s="4" t="s">
        <v>190</v>
      </c>
      <c r="D588" s="4" t="s">
        <v>194</v>
      </c>
      <c r="E588" s="4" t="s">
        <v>939</v>
      </c>
      <c r="F588" s="14">
        <v>0.5</v>
      </c>
      <c r="G588" s="40">
        <v>46054.0</v>
      </c>
    </row>
    <row r="589" ht="15.75" customHeight="1">
      <c r="A589" s="4" t="s">
        <v>93</v>
      </c>
      <c r="B589" s="4" t="s">
        <v>189</v>
      </c>
      <c r="C589" s="4" t="s">
        <v>190</v>
      </c>
      <c r="D589" s="4" t="s">
        <v>194</v>
      </c>
      <c r="E589" s="4" t="s">
        <v>940</v>
      </c>
      <c r="F589" s="14">
        <v>0.5</v>
      </c>
      <c r="G589" s="40">
        <v>46054.0</v>
      </c>
    </row>
    <row r="590" ht="15.75" customHeight="1">
      <c r="A590" s="4" t="s">
        <v>93</v>
      </c>
      <c r="B590" s="4" t="s">
        <v>189</v>
      </c>
      <c r="C590" s="4" t="s">
        <v>190</v>
      </c>
      <c r="D590" s="4" t="s">
        <v>194</v>
      </c>
      <c r="E590" s="4" t="s">
        <v>941</v>
      </c>
      <c r="F590" s="14">
        <v>0.5</v>
      </c>
      <c r="G590" s="40">
        <v>46054.0</v>
      </c>
    </row>
    <row r="591" ht="15.75" customHeight="1">
      <c r="A591" s="4" t="s">
        <v>93</v>
      </c>
      <c r="B591" s="4" t="s">
        <v>189</v>
      </c>
      <c r="C591" s="4" t="s">
        <v>190</v>
      </c>
      <c r="D591" s="4" t="s">
        <v>194</v>
      </c>
      <c r="E591" s="4" t="s">
        <v>942</v>
      </c>
      <c r="F591" s="14">
        <v>0.5</v>
      </c>
      <c r="G591" s="40">
        <v>46054.0</v>
      </c>
    </row>
    <row r="592" ht="15.75" customHeight="1">
      <c r="A592" s="4" t="s">
        <v>93</v>
      </c>
      <c r="B592" s="4" t="s">
        <v>189</v>
      </c>
      <c r="C592" s="4" t="s">
        <v>190</v>
      </c>
      <c r="D592" s="4" t="s">
        <v>194</v>
      </c>
      <c r="E592" s="4" t="s">
        <v>943</v>
      </c>
      <c r="F592" s="14">
        <v>0.5</v>
      </c>
      <c r="G592" s="40">
        <v>46054.0</v>
      </c>
    </row>
    <row r="593" ht="15.75" customHeight="1">
      <c r="A593" s="4" t="s">
        <v>93</v>
      </c>
      <c r="B593" s="4" t="s">
        <v>189</v>
      </c>
      <c r="C593" s="4" t="s">
        <v>190</v>
      </c>
      <c r="D593" s="4" t="s">
        <v>194</v>
      </c>
      <c r="E593" s="4" t="s">
        <v>944</v>
      </c>
      <c r="F593" s="14">
        <v>0.5</v>
      </c>
      <c r="G593" s="40">
        <v>46054.0</v>
      </c>
    </row>
    <row r="594" ht="15.75" customHeight="1">
      <c r="A594" s="4" t="s">
        <v>93</v>
      </c>
      <c r="B594" s="4" t="s">
        <v>189</v>
      </c>
      <c r="C594" s="4" t="s">
        <v>190</v>
      </c>
      <c r="D594" s="4" t="s">
        <v>273</v>
      </c>
      <c r="E594" s="4" t="s">
        <v>945</v>
      </c>
      <c r="F594" s="14">
        <v>1.0</v>
      </c>
      <c r="G594" s="40">
        <v>46054.0</v>
      </c>
    </row>
    <row r="595" ht="15.75" customHeight="1">
      <c r="A595" s="4" t="s">
        <v>93</v>
      </c>
      <c r="B595" s="4" t="s">
        <v>189</v>
      </c>
      <c r="C595" s="4" t="s">
        <v>190</v>
      </c>
      <c r="D595" s="4" t="s">
        <v>273</v>
      </c>
      <c r="E595" s="4" t="s">
        <v>946</v>
      </c>
      <c r="F595" s="14">
        <v>1.0</v>
      </c>
      <c r="G595" s="40">
        <v>46054.0</v>
      </c>
    </row>
    <row r="596" ht="15.75" customHeight="1">
      <c r="A596" s="4" t="s">
        <v>93</v>
      </c>
      <c r="B596" s="4" t="s">
        <v>189</v>
      </c>
      <c r="C596" s="4" t="s">
        <v>190</v>
      </c>
      <c r="D596" s="4" t="s">
        <v>273</v>
      </c>
      <c r="E596" s="4" t="s">
        <v>947</v>
      </c>
      <c r="F596" s="14">
        <v>1.0</v>
      </c>
      <c r="G596" s="40">
        <v>46054.0</v>
      </c>
    </row>
    <row r="597" ht="15.75" customHeight="1">
      <c r="A597" s="4" t="s">
        <v>93</v>
      </c>
      <c r="B597" s="4" t="s">
        <v>189</v>
      </c>
      <c r="C597" s="4" t="s">
        <v>190</v>
      </c>
      <c r="D597" s="4" t="s">
        <v>194</v>
      </c>
      <c r="E597" s="4" t="s">
        <v>948</v>
      </c>
      <c r="F597" s="14">
        <v>0.5</v>
      </c>
      <c r="G597" s="40">
        <v>46082.0</v>
      </c>
    </row>
    <row r="598" ht="15.75" customHeight="1">
      <c r="A598" s="4" t="s">
        <v>93</v>
      </c>
      <c r="B598" s="4" t="s">
        <v>189</v>
      </c>
      <c r="C598" s="4" t="s">
        <v>190</v>
      </c>
      <c r="D598" s="4" t="s">
        <v>273</v>
      </c>
      <c r="E598" s="4" t="s">
        <v>949</v>
      </c>
      <c r="F598" s="14">
        <v>1.0</v>
      </c>
      <c r="G598" s="40">
        <v>46082.0</v>
      </c>
    </row>
    <row r="599" ht="15.75" customHeight="1">
      <c r="A599" s="4" t="s">
        <v>93</v>
      </c>
      <c r="B599" s="4" t="s">
        <v>189</v>
      </c>
      <c r="C599" s="4" t="s">
        <v>190</v>
      </c>
      <c r="D599" s="4" t="s">
        <v>194</v>
      </c>
      <c r="E599" s="4" t="s">
        <v>950</v>
      </c>
      <c r="F599" s="14">
        <v>0.5</v>
      </c>
      <c r="G599" s="40">
        <v>46082.0</v>
      </c>
    </row>
    <row r="600" ht="15.75" customHeight="1">
      <c r="A600" s="4" t="s">
        <v>93</v>
      </c>
      <c r="B600" s="4" t="s">
        <v>189</v>
      </c>
      <c r="C600" s="4" t="s">
        <v>190</v>
      </c>
      <c r="D600" s="4" t="s">
        <v>273</v>
      </c>
      <c r="E600" s="4" t="s">
        <v>951</v>
      </c>
      <c r="F600" s="14">
        <v>1.0</v>
      </c>
      <c r="G600" s="40">
        <v>46082.0</v>
      </c>
    </row>
    <row r="601" ht="15.75" customHeight="1">
      <c r="A601" s="4" t="s">
        <v>93</v>
      </c>
      <c r="B601" s="4" t="s">
        <v>189</v>
      </c>
      <c r="C601" s="4" t="s">
        <v>190</v>
      </c>
      <c r="D601" s="4" t="s">
        <v>273</v>
      </c>
      <c r="E601" s="4" t="s">
        <v>952</v>
      </c>
      <c r="F601" s="14">
        <v>1.0</v>
      </c>
      <c r="G601" s="40">
        <v>46082.0</v>
      </c>
    </row>
    <row r="602" ht="15.75" customHeight="1">
      <c r="A602" s="4" t="s">
        <v>93</v>
      </c>
      <c r="B602" s="4" t="s">
        <v>189</v>
      </c>
      <c r="C602" s="4" t="s">
        <v>190</v>
      </c>
      <c r="D602" s="4" t="s">
        <v>194</v>
      </c>
      <c r="E602" s="4" t="s">
        <v>953</v>
      </c>
      <c r="F602" s="14">
        <v>0.5</v>
      </c>
      <c r="G602" s="40">
        <v>46082.0</v>
      </c>
    </row>
    <row r="603" ht="15.75" customHeight="1">
      <c r="A603" s="4" t="s">
        <v>93</v>
      </c>
      <c r="B603" s="4" t="s">
        <v>189</v>
      </c>
      <c r="C603" s="4" t="s">
        <v>190</v>
      </c>
      <c r="D603" s="4" t="s">
        <v>273</v>
      </c>
      <c r="E603" s="4" t="s">
        <v>954</v>
      </c>
      <c r="F603" s="14">
        <v>1.0</v>
      </c>
      <c r="G603" s="40">
        <v>46082.0</v>
      </c>
    </row>
    <row r="604" ht="15.75" customHeight="1">
      <c r="A604" s="4" t="s">
        <v>93</v>
      </c>
      <c r="B604" s="4" t="s">
        <v>189</v>
      </c>
      <c r="C604" s="4" t="s">
        <v>190</v>
      </c>
      <c r="D604" s="4" t="s">
        <v>194</v>
      </c>
      <c r="E604" s="4" t="s">
        <v>955</v>
      </c>
      <c r="F604" s="14">
        <v>0.5</v>
      </c>
      <c r="G604" s="40">
        <v>46113.0</v>
      </c>
    </row>
    <row r="605" ht="15.75" customHeight="1">
      <c r="A605" s="4" t="s">
        <v>93</v>
      </c>
      <c r="B605" s="4" t="s">
        <v>189</v>
      </c>
      <c r="C605" s="4" t="s">
        <v>190</v>
      </c>
      <c r="D605" s="4" t="s">
        <v>273</v>
      </c>
      <c r="E605" s="4" t="s">
        <v>956</v>
      </c>
      <c r="F605" s="14">
        <v>1.0</v>
      </c>
      <c r="G605" s="40">
        <v>46113.0</v>
      </c>
    </row>
    <row r="606" ht="15.75" customHeight="1">
      <c r="A606" s="4" t="s">
        <v>93</v>
      </c>
      <c r="B606" s="4" t="s">
        <v>189</v>
      </c>
      <c r="C606" s="4" t="s">
        <v>190</v>
      </c>
      <c r="D606" s="4" t="s">
        <v>194</v>
      </c>
      <c r="E606" s="4" t="s">
        <v>957</v>
      </c>
      <c r="F606" s="14">
        <v>0.5</v>
      </c>
      <c r="G606" s="40">
        <v>46113.0</v>
      </c>
    </row>
    <row r="607" ht="15.75" customHeight="1">
      <c r="A607" s="4" t="s">
        <v>93</v>
      </c>
      <c r="B607" s="4" t="s">
        <v>189</v>
      </c>
      <c r="C607" s="4" t="s">
        <v>190</v>
      </c>
      <c r="D607" s="4" t="s">
        <v>194</v>
      </c>
      <c r="E607" s="4" t="s">
        <v>958</v>
      </c>
      <c r="F607" s="14">
        <v>0.5</v>
      </c>
      <c r="G607" s="40">
        <v>46113.0</v>
      </c>
    </row>
    <row r="608" ht="15.75" customHeight="1">
      <c r="A608" s="4" t="s">
        <v>93</v>
      </c>
      <c r="B608" s="4" t="s">
        <v>189</v>
      </c>
      <c r="C608" s="4" t="s">
        <v>190</v>
      </c>
      <c r="D608" s="4" t="s">
        <v>273</v>
      </c>
      <c r="E608" s="4" t="s">
        <v>959</v>
      </c>
      <c r="F608" s="14">
        <v>1.0</v>
      </c>
      <c r="G608" s="40">
        <v>46113.0</v>
      </c>
    </row>
    <row r="609" ht="15.75" customHeight="1">
      <c r="A609" s="4" t="s">
        <v>93</v>
      </c>
      <c r="B609" s="4" t="s">
        <v>189</v>
      </c>
      <c r="C609" s="4" t="s">
        <v>190</v>
      </c>
      <c r="D609" s="4" t="s">
        <v>194</v>
      </c>
      <c r="E609" s="4" t="s">
        <v>960</v>
      </c>
      <c r="F609" s="14">
        <v>0.5</v>
      </c>
      <c r="G609" s="40">
        <v>46113.0</v>
      </c>
    </row>
    <row r="610" ht="15.75" customHeight="1">
      <c r="A610" s="4" t="s">
        <v>93</v>
      </c>
      <c r="B610" s="4" t="s">
        <v>189</v>
      </c>
      <c r="C610" s="4" t="s">
        <v>190</v>
      </c>
      <c r="D610" s="4" t="s">
        <v>273</v>
      </c>
      <c r="E610" s="4" t="s">
        <v>961</v>
      </c>
      <c r="F610" s="14">
        <v>1.0</v>
      </c>
      <c r="G610" s="40">
        <v>46113.0</v>
      </c>
    </row>
    <row r="611" ht="15.75" customHeight="1">
      <c r="A611" s="4" t="s">
        <v>93</v>
      </c>
      <c r="B611" s="4" t="s">
        <v>189</v>
      </c>
      <c r="C611" s="4" t="s">
        <v>190</v>
      </c>
      <c r="D611" s="4" t="s">
        <v>273</v>
      </c>
      <c r="E611" s="4" t="s">
        <v>962</v>
      </c>
      <c r="F611" s="14">
        <v>1.0</v>
      </c>
      <c r="G611" s="40">
        <v>46113.0</v>
      </c>
    </row>
    <row r="612" ht="15.75" customHeight="1">
      <c r="A612" s="4" t="s">
        <v>93</v>
      </c>
      <c r="B612" s="4" t="s">
        <v>189</v>
      </c>
      <c r="C612" s="4" t="s">
        <v>190</v>
      </c>
      <c r="D612" s="4" t="s">
        <v>273</v>
      </c>
      <c r="E612" s="4" t="s">
        <v>963</v>
      </c>
      <c r="F612" s="14">
        <v>1.0</v>
      </c>
      <c r="G612" s="40">
        <v>46113.0</v>
      </c>
    </row>
    <row r="613" ht="15.75" customHeight="1">
      <c r="A613" s="4" t="s">
        <v>93</v>
      </c>
      <c r="B613" s="4" t="s">
        <v>189</v>
      </c>
      <c r="C613" s="4" t="s">
        <v>190</v>
      </c>
      <c r="D613" s="4" t="s">
        <v>194</v>
      </c>
      <c r="E613" s="4" t="s">
        <v>964</v>
      </c>
      <c r="F613" s="14">
        <v>0.5</v>
      </c>
      <c r="G613" s="40">
        <v>46143.0</v>
      </c>
    </row>
    <row r="614" ht="15.75" customHeight="1">
      <c r="A614" s="4" t="s">
        <v>93</v>
      </c>
      <c r="B614" s="4" t="s">
        <v>189</v>
      </c>
      <c r="C614" s="4" t="s">
        <v>190</v>
      </c>
      <c r="D614" s="4" t="s">
        <v>194</v>
      </c>
      <c r="E614" s="4" t="s">
        <v>965</v>
      </c>
      <c r="F614" s="14">
        <v>0.5</v>
      </c>
      <c r="G614" s="40">
        <v>46143.0</v>
      </c>
    </row>
    <row r="615" ht="15.75" customHeight="1">
      <c r="A615" s="4" t="s">
        <v>93</v>
      </c>
      <c r="B615" s="4" t="s">
        <v>189</v>
      </c>
      <c r="C615" s="4" t="s">
        <v>190</v>
      </c>
      <c r="D615" s="4" t="s">
        <v>283</v>
      </c>
      <c r="E615" s="4" t="s">
        <v>966</v>
      </c>
      <c r="F615" s="14">
        <v>1.5</v>
      </c>
      <c r="G615" s="40">
        <v>46143.0</v>
      </c>
    </row>
    <row r="616" ht="15.75" customHeight="1">
      <c r="A616" s="4" t="s">
        <v>93</v>
      </c>
      <c r="B616" s="4" t="s">
        <v>189</v>
      </c>
      <c r="C616" s="4" t="s">
        <v>190</v>
      </c>
      <c r="D616" s="4" t="s">
        <v>273</v>
      </c>
      <c r="E616" s="4" t="s">
        <v>967</v>
      </c>
      <c r="F616" s="14">
        <v>1.0</v>
      </c>
      <c r="G616" s="40">
        <v>46143.0</v>
      </c>
    </row>
    <row r="617" ht="15.75" customHeight="1">
      <c r="A617" s="4" t="s">
        <v>93</v>
      </c>
      <c r="B617" s="4" t="s">
        <v>189</v>
      </c>
      <c r="C617" s="4" t="s">
        <v>190</v>
      </c>
      <c r="D617" s="4" t="s">
        <v>194</v>
      </c>
      <c r="E617" s="4" t="s">
        <v>968</v>
      </c>
      <c r="F617" s="14">
        <v>0.5</v>
      </c>
      <c r="G617" s="40">
        <v>46143.0</v>
      </c>
    </row>
    <row r="618" ht="15.75" customHeight="1">
      <c r="A618" s="4" t="s">
        <v>93</v>
      </c>
      <c r="B618" s="4" t="s">
        <v>189</v>
      </c>
      <c r="C618" s="4" t="s">
        <v>190</v>
      </c>
      <c r="D618" s="4" t="s">
        <v>194</v>
      </c>
      <c r="E618" s="4" t="s">
        <v>969</v>
      </c>
      <c r="F618" s="14">
        <v>0.5</v>
      </c>
      <c r="G618" s="40">
        <v>46143.0</v>
      </c>
    </row>
    <row r="619" ht="15.75" customHeight="1">
      <c r="A619" s="4" t="s">
        <v>93</v>
      </c>
      <c r="B619" s="4" t="s">
        <v>189</v>
      </c>
      <c r="C619" s="4" t="s">
        <v>190</v>
      </c>
      <c r="D619" s="4" t="s">
        <v>194</v>
      </c>
      <c r="E619" s="4" t="s">
        <v>970</v>
      </c>
      <c r="F619" s="14">
        <v>0.5</v>
      </c>
      <c r="G619" s="40">
        <v>46143.0</v>
      </c>
    </row>
    <row r="620" ht="15.75" customHeight="1">
      <c r="A620" s="4" t="s">
        <v>93</v>
      </c>
      <c r="B620" s="4" t="s">
        <v>189</v>
      </c>
      <c r="C620" s="4" t="s">
        <v>190</v>
      </c>
      <c r="D620" s="4" t="s">
        <v>273</v>
      </c>
      <c r="E620" s="4" t="s">
        <v>971</v>
      </c>
      <c r="F620" s="14">
        <v>1.0</v>
      </c>
      <c r="G620" s="40">
        <v>46143.0</v>
      </c>
    </row>
    <row r="621" ht="15.75" customHeight="1">
      <c r="A621" s="4" t="s">
        <v>93</v>
      </c>
      <c r="B621" s="4" t="s">
        <v>189</v>
      </c>
      <c r="C621" s="4" t="s">
        <v>190</v>
      </c>
      <c r="D621" s="4" t="s">
        <v>273</v>
      </c>
      <c r="E621" s="4" t="s">
        <v>972</v>
      </c>
      <c r="F621" s="14">
        <v>1.0</v>
      </c>
      <c r="G621" s="40">
        <v>46143.0</v>
      </c>
    </row>
    <row r="622" ht="15.75" customHeight="1">
      <c r="A622" s="4" t="s">
        <v>93</v>
      </c>
      <c r="B622" s="4" t="s">
        <v>189</v>
      </c>
      <c r="C622" s="4" t="s">
        <v>190</v>
      </c>
      <c r="D622" s="4" t="s">
        <v>194</v>
      </c>
      <c r="E622" s="4" t="s">
        <v>973</v>
      </c>
      <c r="F622" s="14">
        <v>0.5</v>
      </c>
      <c r="G622" s="40">
        <v>46143.0</v>
      </c>
    </row>
    <row r="623" ht="15.75" customHeight="1">
      <c r="A623" s="4" t="s">
        <v>93</v>
      </c>
      <c r="B623" s="4" t="s">
        <v>189</v>
      </c>
      <c r="C623" s="4" t="s">
        <v>190</v>
      </c>
      <c r="D623" s="4" t="s">
        <v>194</v>
      </c>
      <c r="E623" s="4" t="s">
        <v>974</v>
      </c>
      <c r="F623" s="14">
        <v>0.5</v>
      </c>
      <c r="G623" s="40">
        <v>46174.0</v>
      </c>
    </row>
    <row r="624" ht="15.75" customHeight="1">
      <c r="A624" s="4" t="s">
        <v>93</v>
      </c>
      <c r="B624" s="4" t="s">
        <v>189</v>
      </c>
      <c r="C624" s="4" t="s">
        <v>190</v>
      </c>
      <c r="D624" s="4" t="s">
        <v>194</v>
      </c>
      <c r="E624" s="4" t="s">
        <v>975</v>
      </c>
      <c r="F624" s="14">
        <v>0.5</v>
      </c>
      <c r="G624" s="40">
        <v>46174.0</v>
      </c>
    </row>
    <row r="625" ht="15.75" customHeight="1">
      <c r="A625" s="4" t="s">
        <v>93</v>
      </c>
      <c r="B625" s="4" t="s">
        <v>189</v>
      </c>
      <c r="C625" s="4" t="s">
        <v>190</v>
      </c>
      <c r="D625" s="4" t="s">
        <v>273</v>
      </c>
      <c r="E625" s="4" t="s">
        <v>976</v>
      </c>
      <c r="F625" s="14">
        <v>1.0</v>
      </c>
      <c r="G625" s="40">
        <v>46174.0</v>
      </c>
    </row>
    <row r="626" ht="15.75" customHeight="1">
      <c r="A626" s="4" t="s">
        <v>93</v>
      </c>
      <c r="B626" s="4" t="s">
        <v>189</v>
      </c>
      <c r="C626" s="4" t="s">
        <v>190</v>
      </c>
      <c r="D626" s="4" t="s">
        <v>273</v>
      </c>
      <c r="E626" s="4" t="s">
        <v>977</v>
      </c>
      <c r="F626" s="14">
        <v>1.0</v>
      </c>
      <c r="G626" s="40">
        <v>46174.0</v>
      </c>
    </row>
    <row r="627" ht="15.75" customHeight="1">
      <c r="A627" s="4" t="s">
        <v>93</v>
      </c>
      <c r="B627" s="4" t="s">
        <v>189</v>
      </c>
      <c r="C627" s="4" t="s">
        <v>190</v>
      </c>
      <c r="D627" s="4" t="s">
        <v>194</v>
      </c>
      <c r="E627" s="4" t="s">
        <v>978</v>
      </c>
      <c r="F627" s="14">
        <v>0.5</v>
      </c>
      <c r="G627" s="40">
        <v>46204.0</v>
      </c>
    </row>
    <row r="628" ht="15.75" customHeight="1">
      <c r="A628" s="4" t="s">
        <v>93</v>
      </c>
      <c r="B628" s="4" t="s">
        <v>189</v>
      </c>
      <c r="C628" s="4" t="s">
        <v>190</v>
      </c>
      <c r="D628" s="4" t="s">
        <v>273</v>
      </c>
      <c r="E628" s="4" t="s">
        <v>979</v>
      </c>
      <c r="F628" s="14">
        <v>1.0</v>
      </c>
      <c r="G628" s="40">
        <v>46204.0</v>
      </c>
    </row>
    <row r="629" ht="15.75" customHeight="1">
      <c r="A629" s="4" t="s">
        <v>93</v>
      </c>
      <c r="B629" s="4" t="s">
        <v>189</v>
      </c>
      <c r="C629" s="4" t="s">
        <v>190</v>
      </c>
      <c r="D629" s="4" t="s">
        <v>194</v>
      </c>
      <c r="E629" s="4" t="s">
        <v>980</v>
      </c>
      <c r="F629" s="14">
        <v>0.5</v>
      </c>
      <c r="G629" s="40">
        <v>46204.0</v>
      </c>
    </row>
    <row r="630" ht="15.75" customHeight="1">
      <c r="A630" s="4" t="s">
        <v>93</v>
      </c>
      <c r="B630" s="4" t="s">
        <v>189</v>
      </c>
      <c r="C630" s="4" t="s">
        <v>190</v>
      </c>
      <c r="D630" s="4" t="s">
        <v>194</v>
      </c>
      <c r="E630" s="4" t="s">
        <v>981</v>
      </c>
      <c r="F630" s="14">
        <v>0.5</v>
      </c>
      <c r="G630" s="40">
        <v>46204.0</v>
      </c>
    </row>
    <row r="631" ht="15.75" customHeight="1">
      <c r="A631" s="4" t="s">
        <v>93</v>
      </c>
      <c r="B631" s="4" t="s">
        <v>189</v>
      </c>
      <c r="C631" s="4" t="s">
        <v>190</v>
      </c>
      <c r="D631" s="4" t="s">
        <v>194</v>
      </c>
      <c r="E631" s="4" t="s">
        <v>982</v>
      </c>
      <c r="F631" s="14">
        <v>0.5</v>
      </c>
      <c r="G631" s="40">
        <v>46204.0</v>
      </c>
    </row>
    <row r="632" ht="15.75" customHeight="1">
      <c r="A632" s="4" t="s">
        <v>93</v>
      </c>
      <c r="B632" s="4" t="s">
        <v>186</v>
      </c>
      <c r="C632" s="4" t="s">
        <v>187</v>
      </c>
      <c r="D632" s="4" t="s">
        <v>194</v>
      </c>
      <c r="E632" s="4" t="s">
        <v>983</v>
      </c>
      <c r="F632" s="14">
        <v>0.5</v>
      </c>
      <c r="G632" s="40">
        <v>46023.0</v>
      </c>
    </row>
    <row r="633" ht="15.75" customHeight="1">
      <c r="A633" s="4" t="s">
        <v>93</v>
      </c>
      <c r="B633" s="4" t="s">
        <v>186</v>
      </c>
      <c r="C633" s="4" t="s">
        <v>187</v>
      </c>
      <c r="D633" s="4" t="s">
        <v>273</v>
      </c>
      <c r="E633" s="4" t="s">
        <v>984</v>
      </c>
      <c r="F633" s="14">
        <v>1.0</v>
      </c>
      <c r="G633" s="40">
        <v>46235.0</v>
      </c>
    </row>
    <row r="634" ht="15.75" customHeight="1">
      <c r="A634" s="4" t="s">
        <v>93</v>
      </c>
      <c r="B634" s="4" t="s">
        <v>186</v>
      </c>
      <c r="C634" s="4" t="s">
        <v>187</v>
      </c>
      <c r="D634" s="4" t="s">
        <v>283</v>
      </c>
      <c r="E634" s="4" t="s">
        <v>985</v>
      </c>
      <c r="F634" s="14">
        <v>1.5</v>
      </c>
      <c r="G634" s="40">
        <v>46235.0</v>
      </c>
    </row>
    <row r="635" ht="15.75" customHeight="1">
      <c r="A635" s="4" t="s">
        <v>93</v>
      </c>
      <c r="B635" s="4" t="s">
        <v>186</v>
      </c>
      <c r="C635" s="4" t="s">
        <v>187</v>
      </c>
      <c r="D635" s="4" t="s">
        <v>194</v>
      </c>
      <c r="E635" s="4" t="s">
        <v>986</v>
      </c>
      <c r="F635" s="14">
        <v>0.5</v>
      </c>
      <c r="G635" s="40">
        <v>46235.0</v>
      </c>
    </row>
    <row r="636" ht="15.75" customHeight="1">
      <c r="A636" s="4" t="s">
        <v>93</v>
      </c>
      <c r="B636" s="4" t="s">
        <v>186</v>
      </c>
      <c r="C636" s="4" t="s">
        <v>187</v>
      </c>
      <c r="D636" s="4" t="s">
        <v>194</v>
      </c>
      <c r="E636" s="4" t="s">
        <v>987</v>
      </c>
      <c r="F636" s="14">
        <v>0.5</v>
      </c>
      <c r="G636" s="40">
        <v>46235.0</v>
      </c>
    </row>
    <row r="637" ht="15.75" customHeight="1">
      <c r="A637" s="4" t="s">
        <v>93</v>
      </c>
      <c r="B637" s="4" t="s">
        <v>180</v>
      </c>
      <c r="C637" s="4" t="s">
        <v>183</v>
      </c>
      <c r="D637" s="4" t="s">
        <v>283</v>
      </c>
      <c r="E637" s="4" t="s">
        <v>988</v>
      </c>
      <c r="F637" s="14">
        <v>1.5</v>
      </c>
      <c r="G637" s="40">
        <v>46023.0</v>
      </c>
    </row>
    <row r="638" ht="15.75" customHeight="1">
      <c r="A638" s="4" t="s">
        <v>93</v>
      </c>
      <c r="B638" s="4" t="s">
        <v>180</v>
      </c>
      <c r="C638" s="4" t="s">
        <v>183</v>
      </c>
      <c r="D638" s="4" t="s">
        <v>283</v>
      </c>
      <c r="E638" s="4" t="s">
        <v>989</v>
      </c>
      <c r="F638" s="14">
        <v>1.5</v>
      </c>
      <c r="G638" s="40">
        <v>46023.0</v>
      </c>
    </row>
    <row r="639" ht="15.75" customHeight="1">
      <c r="A639" s="4" t="s">
        <v>93</v>
      </c>
      <c r="B639" s="4" t="s">
        <v>180</v>
      </c>
      <c r="C639" s="4" t="s">
        <v>183</v>
      </c>
      <c r="D639" s="4" t="s">
        <v>273</v>
      </c>
      <c r="E639" s="4" t="s">
        <v>990</v>
      </c>
      <c r="F639" s="14">
        <v>1.0</v>
      </c>
      <c r="G639" s="40">
        <v>46023.0</v>
      </c>
    </row>
    <row r="640" ht="15.75" customHeight="1">
      <c r="A640" s="4" t="s">
        <v>93</v>
      </c>
      <c r="B640" s="4" t="s">
        <v>180</v>
      </c>
      <c r="C640" s="4" t="s">
        <v>183</v>
      </c>
      <c r="D640" s="4" t="s">
        <v>273</v>
      </c>
      <c r="E640" s="4" t="s">
        <v>991</v>
      </c>
      <c r="F640" s="14">
        <v>1.0</v>
      </c>
      <c r="G640" s="40">
        <v>46023.0</v>
      </c>
    </row>
    <row r="641" ht="15.75" customHeight="1">
      <c r="A641" s="4" t="s">
        <v>93</v>
      </c>
      <c r="B641" s="4" t="s">
        <v>180</v>
      </c>
      <c r="C641" s="4" t="s">
        <v>183</v>
      </c>
      <c r="D641" s="4" t="s">
        <v>194</v>
      </c>
      <c r="E641" s="4" t="s">
        <v>992</v>
      </c>
      <c r="F641" s="14">
        <v>0.5</v>
      </c>
      <c r="G641" s="40">
        <v>46023.0</v>
      </c>
    </row>
    <row r="642" ht="15.75" customHeight="1">
      <c r="A642" s="4" t="s">
        <v>93</v>
      </c>
      <c r="B642" s="4" t="s">
        <v>180</v>
      </c>
      <c r="C642" s="4" t="s">
        <v>183</v>
      </c>
      <c r="D642" s="4" t="s">
        <v>273</v>
      </c>
      <c r="E642" s="4" t="s">
        <v>993</v>
      </c>
      <c r="F642" s="14">
        <v>1.0</v>
      </c>
      <c r="G642" s="40">
        <v>46023.0</v>
      </c>
    </row>
    <row r="643" ht="15.75" customHeight="1">
      <c r="A643" s="4" t="s">
        <v>93</v>
      </c>
      <c r="B643" s="4" t="s">
        <v>180</v>
      </c>
      <c r="C643" s="4" t="s">
        <v>183</v>
      </c>
      <c r="D643" s="4" t="s">
        <v>194</v>
      </c>
      <c r="E643" s="4" t="s">
        <v>994</v>
      </c>
      <c r="F643" s="14">
        <v>0.5</v>
      </c>
      <c r="G643" s="40">
        <v>46204.0</v>
      </c>
    </row>
    <row r="644" ht="15.75" customHeight="1">
      <c r="A644" s="4" t="s">
        <v>93</v>
      </c>
      <c r="B644" s="4" t="s">
        <v>552</v>
      </c>
      <c r="C644" s="4" t="s">
        <v>995</v>
      </c>
      <c r="D644" s="4" t="s">
        <v>194</v>
      </c>
      <c r="E644" s="4" t="s">
        <v>996</v>
      </c>
      <c r="F644" s="14">
        <v>0.5</v>
      </c>
      <c r="G644" s="40">
        <v>46023.0</v>
      </c>
    </row>
    <row r="645" ht="15.75" customHeight="1">
      <c r="A645" s="4" t="s">
        <v>93</v>
      </c>
      <c r="B645" s="4" t="s">
        <v>552</v>
      </c>
      <c r="C645" s="4" t="s">
        <v>995</v>
      </c>
      <c r="D645" s="4" t="s">
        <v>283</v>
      </c>
      <c r="E645" s="4" t="s">
        <v>997</v>
      </c>
      <c r="F645" s="14">
        <v>1.5</v>
      </c>
      <c r="G645" s="40">
        <v>46023.0</v>
      </c>
    </row>
    <row r="646" ht="15.75" customHeight="1">
      <c r="A646" s="4" t="s">
        <v>93</v>
      </c>
      <c r="B646" s="4" t="s">
        <v>552</v>
      </c>
      <c r="C646" s="4" t="s">
        <v>995</v>
      </c>
      <c r="D646" s="4" t="s">
        <v>283</v>
      </c>
      <c r="E646" s="4" t="s">
        <v>998</v>
      </c>
      <c r="F646" s="14">
        <v>1.5</v>
      </c>
      <c r="G646" s="40">
        <v>46054.0</v>
      </c>
    </row>
    <row r="647" ht="15.75" customHeight="1">
      <c r="A647" s="4" t="s">
        <v>93</v>
      </c>
      <c r="B647" s="4" t="s">
        <v>176</v>
      </c>
      <c r="C647" s="4" t="s">
        <v>177</v>
      </c>
      <c r="D647" s="4" t="s">
        <v>273</v>
      </c>
      <c r="E647" s="4" t="s">
        <v>999</v>
      </c>
      <c r="F647" s="14">
        <v>1.0</v>
      </c>
      <c r="G647" s="40">
        <v>46023.0</v>
      </c>
    </row>
    <row r="648" ht="15.75" customHeight="1">
      <c r="A648" s="4" t="s">
        <v>93</v>
      </c>
      <c r="B648" s="4" t="s">
        <v>176</v>
      </c>
      <c r="C648" s="4" t="s">
        <v>177</v>
      </c>
      <c r="D648" s="4" t="s">
        <v>273</v>
      </c>
      <c r="E648" s="4" t="s">
        <v>1000</v>
      </c>
      <c r="F648" s="14">
        <v>1.0</v>
      </c>
      <c r="G648" s="40">
        <v>46023.0</v>
      </c>
    </row>
    <row r="649" ht="15.75" customHeight="1">
      <c r="A649" s="4" t="s">
        <v>93</v>
      </c>
      <c r="B649" s="4" t="s">
        <v>176</v>
      </c>
      <c r="C649" s="4" t="s">
        <v>177</v>
      </c>
      <c r="D649" s="4" t="s">
        <v>273</v>
      </c>
      <c r="E649" s="4" t="s">
        <v>1001</v>
      </c>
      <c r="F649" s="14">
        <v>1.0</v>
      </c>
      <c r="G649" s="40">
        <v>46023.0</v>
      </c>
    </row>
    <row r="650" ht="15.75" customHeight="1">
      <c r="A650" s="4" t="s">
        <v>93</v>
      </c>
      <c r="B650" s="4" t="s">
        <v>176</v>
      </c>
      <c r="C650" s="4" t="s">
        <v>177</v>
      </c>
      <c r="D650" s="4" t="s">
        <v>273</v>
      </c>
      <c r="E650" s="4" t="s">
        <v>1002</v>
      </c>
      <c r="F650" s="14">
        <v>1.0</v>
      </c>
      <c r="G650" s="40">
        <v>46023.0</v>
      </c>
    </row>
    <row r="651" ht="15.75" customHeight="1">
      <c r="A651" s="4" t="s">
        <v>93</v>
      </c>
      <c r="B651" s="4" t="s">
        <v>176</v>
      </c>
      <c r="C651" s="4" t="s">
        <v>177</v>
      </c>
      <c r="D651" s="4" t="s">
        <v>273</v>
      </c>
      <c r="E651" s="4" t="s">
        <v>1003</v>
      </c>
      <c r="F651" s="14">
        <v>1.0</v>
      </c>
      <c r="G651" s="40">
        <v>46023.0</v>
      </c>
    </row>
    <row r="652" ht="15.75" customHeight="1">
      <c r="A652" s="4" t="s">
        <v>93</v>
      </c>
      <c r="B652" s="4" t="s">
        <v>176</v>
      </c>
      <c r="C652" s="4" t="s">
        <v>177</v>
      </c>
      <c r="D652" s="4" t="s">
        <v>194</v>
      </c>
      <c r="E652" s="4" t="s">
        <v>1004</v>
      </c>
      <c r="F652" s="14">
        <v>0.5</v>
      </c>
      <c r="G652" s="40">
        <v>46023.0</v>
      </c>
    </row>
    <row r="653" ht="15.75" customHeight="1">
      <c r="A653" s="4" t="s">
        <v>93</v>
      </c>
      <c r="B653" s="4" t="s">
        <v>176</v>
      </c>
      <c r="C653" s="4" t="s">
        <v>177</v>
      </c>
      <c r="D653" s="4" t="s">
        <v>273</v>
      </c>
      <c r="E653" s="4" t="s">
        <v>1005</v>
      </c>
      <c r="F653" s="14">
        <v>1.0</v>
      </c>
      <c r="G653" s="40">
        <v>46023.0</v>
      </c>
    </row>
    <row r="654" ht="15.75" customHeight="1">
      <c r="A654" s="4" t="s">
        <v>93</v>
      </c>
      <c r="B654" s="4" t="s">
        <v>176</v>
      </c>
      <c r="C654" s="4" t="s">
        <v>177</v>
      </c>
      <c r="D654" s="4" t="s">
        <v>194</v>
      </c>
      <c r="E654" s="4" t="s">
        <v>1006</v>
      </c>
      <c r="F654" s="14">
        <v>0.5</v>
      </c>
      <c r="G654" s="40">
        <v>46023.0</v>
      </c>
    </row>
    <row r="655" ht="15.75" customHeight="1">
      <c r="A655" s="4" t="s">
        <v>93</v>
      </c>
      <c r="B655" s="4" t="s">
        <v>176</v>
      </c>
      <c r="C655" s="4" t="s">
        <v>177</v>
      </c>
      <c r="D655" s="4" t="s">
        <v>283</v>
      </c>
      <c r="E655" s="4" t="s">
        <v>1007</v>
      </c>
      <c r="F655" s="14">
        <v>1.5</v>
      </c>
      <c r="G655" s="40">
        <v>46023.0</v>
      </c>
    </row>
    <row r="656" ht="15.75" customHeight="1">
      <c r="A656" s="4" t="s">
        <v>93</v>
      </c>
      <c r="B656" s="4" t="s">
        <v>176</v>
      </c>
      <c r="C656" s="4" t="s">
        <v>177</v>
      </c>
      <c r="D656" s="4" t="s">
        <v>194</v>
      </c>
      <c r="E656" s="4" t="s">
        <v>1008</v>
      </c>
      <c r="F656" s="14">
        <v>0.5</v>
      </c>
      <c r="G656" s="40">
        <v>46023.0</v>
      </c>
    </row>
    <row r="657" ht="15.75" customHeight="1">
      <c r="A657" s="4" t="s">
        <v>93</v>
      </c>
      <c r="B657" s="4" t="s">
        <v>176</v>
      </c>
      <c r="C657" s="4" t="s">
        <v>177</v>
      </c>
      <c r="D657" s="4" t="s">
        <v>194</v>
      </c>
      <c r="E657" s="4" t="s">
        <v>1009</v>
      </c>
      <c r="F657" s="14">
        <v>0.5</v>
      </c>
      <c r="G657" s="40">
        <v>46023.0</v>
      </c>
    </row>
    <row r="658" ht="15.75" customHeight="1">
      <c r="A658" s="4" t="s">
        <v>93</v>
      </c>
      <c r="B658" s="4" t="s">
        <v>176</v>
      </c>
      <c r="C658" s="4" t="s">
        <v>177</v>
      </c>
      <c r="D658" s="4" t="s">
        <v>194</v>
      </c>
      <c r="E658" s="4" t="s">
        <v>1010</v>
      </c>
      <c r="F658" s="14">
        <v>0.5</v>
      </c>
      <c r="G658" s="40">
        <v>46054.0</v>
      </c>
    </row>
    <row r="659" ht="15.75" customHeight="1">
      <c r="A659" s="4" t="s">
        <v>93</v>
      </c>
      <c r="B659" s="4" t="s">
        <v>176</v>
      </c>
      <c r="C659" s="4" t="s">
        <v>177</v>
      </c>
      <c r="D659" s="4" t="s">
        <v>194</v>
      </c>
      <c r="E659" s="4" t="s">
        <v>1011</v>
      </c>
      <c r="F659" s="14">
        <v>0.5</v>
      </c>
      <c r="G659" s="40">
        <v>46054.0</v>
      </c>
    </row>
    <row r="660" ht="15.75" customHeight="1">
      <c r="A660" s="4" t="s">
        <v>93</v>
      </c>
      <c r="B660" s="4" t="s">
        <v>176</v>
      </c>
      <c r="C660" s="4" t="s">
        <v>177</v>
      </c>
      <c r="D660" s="4" t="s">
        <v>194</v>
      </c>
      <c r="E660" s="4" t="s">
        <v>1012</v>
      </c>
      <c r="F660" s="14">
        <v>0.5</v>
      </c>
      <c r="G660" s="40">
        <v>46054.0</v>
      </c>
    </row>
    <row r="661" ht="15.75" customHeight="1">
      <c r="A661" s="4" t="s">
        <v>93</v>
      </c>
      <c r="B661" s="4" t="s">
        <v>176</v>
      </c>
      <c r="C661" s="4" t="s">
        <v>177</v>
      </c>
      <c r="D661" s="4" t="s">
        <v>194</v>
      </c>
      <c r="E661" s="4" t="s">
        <v>1013</v>
      </c>
      <c r="F661" s="14">
        <v>0.5</v>
      </c>
      <c r="G661" s="40">
        <v>46054.0</v>
      </c>
    </row>
    <row r="662" ht="15.75" customHeight="1">
      <c r="A662" s="4" t="s">
        <v>93</v>
      </c>
      <c r="B662" s="4" t="s">
        <v>176</v>
      </c>
      <c r="C662" s="4" t="s">
        <v>177</v>
      </c>
      <c r="D662" s="4" t="s">
        <v>194</v>
      </c>
      <c r="E662" s="4" t="s">
        <v>1012</v>
      </c>
      <c r="F662" s="14">
        <v>0.5</v>
      </c>
      <c r="G662" s="40">
        <v>46054.0</v>
      </c>
    </row>
    <row r="663" ht="15.75" customHeight="1">
      <c r="A663" s="4" t="s">
        <v>93</v>
      </c>
      <c r="B663" s="4" t="s">
        <v>176</v>
      </c>
      <c r="C663" s="4" t="s">
        <v>177</v>
      </c>
      <c r="D663" s="4" t="s">
        <v>194</v>
      </c>
      <c r="E663" s="4" t="s">
        <v>1013</v>
      </c>
      <c r="F663" s="14">
        <v>0.5</v>
      </c>
      <c r="G663" s="40">
        <v>46054.0</v>
      </c>
    </row>
    <row r="664" ht="15.75" customHeight="1">
      <c r="A664" s="4" t="s">
        <v>93</v>
      </c>
      <c r="B664" s="4" t="s">
        <v>176</v>
      </c>
      <c r="C664" s="4" t="s">
        <v>177</v>
      </c>
      <c r="D664" s="4" t="s">
        <v>273</v>
      </c>
      <c r="E664" s="4" t="s">
        <v>1014</v>
      </c>
      <c r="F664" s="14">
        <v>1.0</v>
      </c>
      <c r="G664" s="40">
        <v>46082.0</v>
      </c>
    </row>
    <row r="665" ht="15.75" customHeight="1">
      <c r="A665" s="4" t="s">
        <v>93</v>
      </c>
      <c r="B665" s="4" t="s">
        <v>176</v>
      </c>
      <c r="C665" s="4" t="s">
        <v>177</v>
      </c>
      <c r="D665" s="4" t="s">
        <v>420</v>
      </c>
      <c r="E665" s="4" t="s">
        <v>1015</v>
      </c>
      <c r="F665" s="14">
        <v>0.25</v>
      </c>
      <c r="G665" s="40">
        <v>46113.0</v>
      </c>
    </row>
    <row r="666" ht="15.75" customHeight="1">
      <c r="A666" s="4" t="s">
        <v>93</v>
      </c>
      <c r="B666" s="4" t="s">
        <v>176</v>
      </c>
      <c r="C666" s="4" t="s">
        <v>177</v>
      </c>
      <c r="D666" s="4" t="s">
        <v>273</v>
      </c>
      <c r="E666" s="4" t="s">
        <v>1016</v>
      </c>
      <c r="F666" s="14">
        <v>1.0</v>
      </c>
      <c r="G666" s="40">
        <v>46143.0</v>
      </c>
    </row>
    <row r="667" ht="15.75" customHeight="1">
      <c r="A667" s="4" t="s">
        <v>93</v>
      </c>
      <c r="B667" s="4" t="s">
        <v>176</v>
      </c>
      <c r="C667" s="4" t="s">
        <v>177</v>
      </c>
      <c r="D667" s="4" t="s">
        <v>273</v>
      </c>
      <c r="E667" s="4" t="s">
        <v>1017</v>
      </c>
      <c r="F667" s="14">
        <v>1.0</v>
      </c>
      <c r="G667" s="40">
        <v>46143.0</v>
      </c>
    </row>
    <row r="668" ht="15.75" customHeight="1">
      <c r="A668" s="4" t="s">
        <v>93</v>
      </c>
      <c r="B668" s="4" t="s">
        <v>176</v>
      </c>
      <c r="C668" s="4" t="s">
        <v>177</v>
      </c>
      <c r="D668" s="4" t="s">
        <v>283</v>
      </c>
      <c r="E668" s="4" t="s">
        <v>1018</v>
      </c>
      <c r="F668" s="14">
        <v>1.5</v>
      </c>
      <c r="G668" s="40">
        <v>46204.0</v>
      </c>
    </row>
    <row r="669" ht="15.75" customHeight="1">
      <c r="A669" s="4" t="s">
        <v>93</v>
      </c>
      <c r="B669" s="4" t="s">
        <v>176</v>
      </c>
      <c r="C669" s="4" t="s">
        <v>177</v>
      </c>
      <c r="D669" s="4" t="s">
        <v>194</v>
      </c>
      <c r="E669" s="4" t="s">
        <v>1019</v>
      </c>
      <c r="F669" s="14">
        <v>0.5</v>
      </c>
      <c r="G669" s="40">
        <v>46204.0</v>
      </c>
    </row>
    <row r="670" ht="15.75" customHeight="1">
      <c r="A670" s="4" t="s">
        <v>93</v>
      </c>
      <c r="B670" s="4" t="s">
        <v>176</v>
      </c>
      <c r="C670" s="4" t="s">
        <v>177</v>
      </c>
      <c r="D670" s="4" t="s">
        <v>194</v>
      </c>
      <c r="E670" s="4" t="s">
        <v>1020</v>
      </c>
      <c r="F670" s="14">
        <v>0.5</v>
      </c>
      <c r="G670" s="40">
        <v>46204.0</v>
      </c>
    </row>
    <row r="671" ht="15.75" customHeight="1">
      <c r="A671" s="4" t="s">
        <v>93</v>
      </c>
      <c r="B671" s="4" t="s">
        <v>176</v>
      </c>
      <c r="C671" s="4" t="s">
        <v>177</v>
      </c>
      <c r="D671" s="4" t="s">
        <v>273</v>
      </c>
      <c r="E671" s="4" t="s">
        <v>1021</v>
      </c>
      <c r="F671" s="14">
        <v>1.0</v>
      </c>
      <c r="G671" s="40">
        <v>46235.0</v>
      </c>
    </row>
    <row r="672" ht="15.75" customHeight="1">
      <c r="A672" s="4" t="s">
        <v>93</v>
      </c>
      <c r="B672" s="4" t="s">
        <v>176</v>
      </c>
      <c r="C672" s="4" t="s">
        <v>177</v>
      </c>
      <c r="D672" s="4" t="s">
        <v>273</v>
      </c>
      <c r="E672" s="4" t="s">
        <v>1022</v>
      </c>
      <c r="F672" s="14">
        <v>1.0</v>
      </c>
      <c r="G672" s="40">
        <v>46235.0</v>
      </c>
    </row>
    <row r="673" ht="15.75" customHeight="1">
      <c r="A673" s="4" t="s">
        <v>93</v>
      </c>
      <c r="B673" s="4" t="s">
        <v>173</v>
      </c>
      <c r="C673" s="4" t="s">
        <v>174</v>
      </c>
      <c r="D673" s="4" t="s">
        <v>194</v>
      </c>
      <c r="E673" s="4" t="s">
        <v>1023</v>
      </c>
      <c r="F673" s="14">
        <v>0.5</v>
      </c>
      <c r="G673" s="40">
        <v>46023.0</v>
      </c>
    </row>
    <row r="674" ht="15.75" customHeight="1">
      <c r="A674" s="4" t="s">
        <v>93</v>
      </c>
      <c r="B674" s="4" t="s">
        <v>173</v>
      </c>
      <c r="C674" s="4" t="s">
        <v>174</v>
      </c>
      <c r="D674" s="4" t="s">
        <v>194</v>
      </c>
      <c r="E674" s="4" t="s">
        <v>1024</v>
      </c>
      <c r="F674" s="14">
        <v>0.5</v>
      </c>
      <c r="G674" s="40">
        <v>46023.0</v>
      </c>
    </row>
    <row r="675" ht="15.75" customHeight="1">
      <c r="A675" s="4" t="s">
        <v>93</v>
      </c>
      <c r="B675" s="4" t="s">
        <v>173</v>
      </c>
      <c r="C675" s="4" t="s">
        <v>174</v>
      </c>
      <c r="D675" s="4" t="s">
        <v>194</v>
      </c>
      <c r="E675" s="4" t="s">
        <v>1025</v>
      </c>
      <c r="F675" s="14">
        <v>0.5</v>
      </c>
      <c r="G675" s="40">
        <v>46023.0</v>
      </c>
    </row>
    <row r="676" ht="15.75" customHeight="1">
      <c r="A676" s="4" t="s">
        <v>93</v>
      </c>
      <c r="B676" s="4" t="s">
        <v>173</v>
      </c>
      <c r="C676" s="4" t="s">
        <v>174</v>
      </c>
      <c r="D676" s="4" t="s">
        <v>194</v>
      </c>
      <c r="E676" s="4" t="s">
        <v>1026</v>
      </c>
      <c r="F676" s="14">
        <v>0.5</v>
      </c>
      <c r="G676" s="40">
        <v>46023.0</v>
      </c>
    </row>
    <row r="677" ht="15.75" customHeight="1">
      <c r="A677" s="4" t="s">
        <v>93</v>
      </c>
      <c r="B677" s="4" t="s">
        <v>173</v>
      </c>
      <c r="C677" s="4" t="s">
        <v>174</v>
      </c>
      <c r="D677" s="4" t="s">
        <v>194</v>
      </c>
      <c r="E677" s="4" t="s">
        <v>1027</v>
      </c>
      <c r="F677" s="14">
        <v>0.5</v>
      </c>
      <c r="G677" s="40">
        <v>46023.0</v>
      </c>
    </row>
    <row r="678" ht="15.75" customHeight="1">
      <c r="A678" s="4" t="s">
        <v>93</v>
      </c>
      <c r="B678" s="4" t="s">
        <v>173</v>
      </c>
      <c r="C678" s="4" t="s">
        <v>174</v>
      </c>
      <c r="D678" s="4" t="s">
        <v>194</v>
      </c>
      <c r="E678" s="4" t="s">
        <v>1028</v>
      </c>
      <c r="F678" s="14">
        <v>0.5</v>
      </c>
      <c r="G678" s="40">
        <v>46023.0</v>
      </c>
    </row>
    <row r="679" ht="15.75" customHeight="1">
      <c r="A679" s="4" t="s">
        <v>93</v>
      </c>
      <c r="B679" s="4" t="s">
        <v>173</v>
      </c>
      <c r="C679" s="4" t="s">
        <v>174</v>
      </c>
      <c r="D679" s="4" t="s">
        <v>194</v>
      </c>
      <c r="E679" s="4" t="s">
        <v>1029</v>
      </c>
      <c r="F679" s="14">
        <v>0.5</v>
      </c>
      <c r="G679" s="40">
        <v>46023.0</v>
      </c>
    </row>
    <row r="680" ht="15.75" customHeight="1">
      <c r="A680" s="4" t="s">
        <v>93</v>
      </c>
      <c r="B680" s="4" t="s">
        <v>173</v>
      </c>
      <c r="C680" s="4" t="s">
        <v>174</v>
      </c>
      <c r="D680" s="4" t="s">
        <v>194</v>
      </c>
      <c r="E680" s="4" t="s">
        <v>1030</v>
      </c>
      <c r="F680" s="14">
        <v>0.5</v>
      </c>
      <c r="G680" s="40">
        <v>46023.0</v>
      </c>
    </row>
    <row r="681" ht="15.75" customHeight="1">
      <c r="A681" s="4" t="s">
        <v>93</v>
      </c>
      <c r="B681" s="4" t="s">
        <v>173</v>
      </c>
      <c r="C681" s="4" t="s">
        <v>174</v>
      </c>
      <c r="D681" s="4" t="s">
        <v>194</v>
      </c>
      <c r="E681" s="4" t="s">
        <v>1031</v>
      </c>
      <c r="F681" s="14">
        <v>0.5</v>
      </c>
      <c r="G681" s="40">
        <v>46023.0</v>
      </c>
    </row>
    <row r="682" ht="15.75" customHeight="1">
      <c r="A682" s="4" t="s">
        <v>93</v>
      </c>
      <c r="B682" s="4" t="s">
        <v>173</v>
      </c>
      <c r="C682" s="4" t="s">
        <v>174</v>
      </c>
      <c r="D682" s="4" t="s">
        <v>194</v>
      </c>
      <c r="E682" s="4" t="s">
        <v>1032</v>
      </c>
      <c r="F682" s="14">
        <v>0.5</v>
      </c>
      <c r="G682" s="40">
        <v>46023.0</v>
      </c>
    </row>
    <row r="683" ht="15.75" customHeight="1">
      <c r="A683" s="4" t="s">
        <v>93</v>
      </c>
      <c r="B683" s="4" t="s">
        <v>173</v>
      </c>
      <c r="C683" s="4" t="s">
        <v>174</v>
      </c>
      <c r="D683" s="4" t="s">
        <v>273</v>
      </c>
      <c r="E683" s="4" t="s">
        <v>1033</v>
      </c>
      <c r="F683" s="14">
        <v>1.0</v>
      </c>
      <c r="G683" s="40">
        <v>46023.0</v>
      </c>
    </row>
    <row r="684" ht="15.75" customHeight="1">
      <c r="A684" s="4" t="s">
        <v>93</v>
      </c>
      <c r="B684" s="4" t="s">
        <v>173</v>
      </c>
      <c r="C684" s="4" t="s">
        <v>174</v>
      </c>
      <c r="D684" s="4" t="s">
        <v>194</v>
      </c>
      <c r="E684" s="4" t="s">
        <v>1034</v>
      </c>
      <c r="F684" s="14">
        <v>0.5</v>
      </c>
      <c r="G684" s="40">
        <v>46023.0</v>
      </c>
    </row>
    <row r="685" ht="15.75" customHeight="1">
      <c r="A685" s="4" t="s">
        <v>93</v>
      </c>
      <c r="B685" s="4" t="s">
        <v>173</v>
      </c>
      <c r="C685" s="4" t="s">
        <v>174</v>
      </c>
      <c r="D685" s="4" t="s">
        <v>420</v>
      </c>
      <c r="E685" s="4" t="s">
        <v>1035</v>
      </c>
      <c r="F685" s="14">
        <v>0.25</v>
      </c>
      <c r="G685" s="40">
        <v>46023.0</v>
      </c>
    </row>
    <row r="686" ht="15.75" customHeight="1">
      <c r="A686" s="4" t="s">
        <v>93</v>
      </c>
      <c r="B686" s="4" t="s">
        <v>173</v>
      </c>
      <c r="C686" s="4" t="s">
        <v>174</v>
      </c>
      <c r="D686" s="4" t="s">
        <v>194</v>
      </c>
      <c r="E686" s="4" t="s">
        <v>1036</v>
      </c>
      <c r="F686" s="14">
        <v>0.5</v>
      </c>
      <c r="G686" s="40">
        <v>46023.0</v>
      </c>
    </row>
    <row r="687" ht="15.75" customHeight="1">
      <c r="A687" s="4" t="s">
        <v>93</v>
      </c>
      <c r="B687" s="4" t="s">
        <v>173</v>
      </c>
      <c r="C687" s="4" t="s">
        <v>174</v>
      </c>
      <c r="D687" s="4" t="s">
        <v>420</v>
      </c>
      <c r="E687" s="4" t="s">
        <v>1037</v>
      </c>
      <c r="F687" s="14">
        <v>0.25</v>
      </c>
      <c r="G687" s="40">
        <v>46023.0</v>
      </c>
    </row>
    <row r="688" ht="15.75" customHeight="1">
      <c r="A688" s="4" t="s">
        <v>93</v>
      </c>
      <c r="B688" s="4" t="s">
        <v>173</v>
      </c>
      <c r="C688" s="4" t="s">
        <v>174</v>
      </c>
      <c r="D688" s="4" t="s">
        <v>194</v>
      </c>
      <c r="E688" s="4" t="s">
        <v>1038</v>
      </c>
      <c r="F688" s="14">
        <v>0.5</v>
      </c>
      <c r="G688" s="40">
        <v>46023.0</v>
      </c>
    </row>
    <row r="689" ht="15.75" customHeight="1">
      <c r="A689" s="4" t="s">
        <v>93</v>
      </c>
      <c r="B689" s="4" t="s">
        <v>173</v>
      </c>
      <c r="C689" s="4" t="s">
        <v>174</v>
      </c>
      <c r="D689" s="4" t="s">
        <v>420</v>
      </c>
      <c r="E689" s="4" t="s">
        <v>1037</v>
      </c>
      <c r="F689" s="14">
        <v>0.25</v>
      </c>
      <c r="G689" s="40">
        <v>46023.0</v>
      </c>
    </row>
    <row r="690" ht="15.75" customHeight="1">
      <c r="A690" s="4" t="s">
        <v>93</v>
      </c>
      <c r="B690" s="4" t="s">
        <v>173</v>
      </c>
      <c r="C690" s="4" t="s">
        <v>174</v>
      </c>
      <c r="D690" s="4" t="s">
        <v>194</v>
      </c>
      <c r="E690" s="4" t="s">
        <v>1038</v>
      </c>
      <c r="F690" s="14">
        <v>0.5</v>
      </c>
      <c r="G690" s="40">
        <v>46023.0</v>
      </c>
    </row>
    <row r="691" ht="15.75" customHeight="1">
      <c r="A691" s="4" t="s">
        <v>93</v>
      </c>
      <c r="B691" s="4" t="s">
        <v>173</v>
      </c>
      <c r="C691" s="4" t="s">
        <v>174</v>
      </c>
      <c r="D691" s="4" t="s">
        <v>194</v>
      </c>
      <c r="E691" s="4" t="s">
        <v>1039</v>
      </c>
      <c r="F691" s="14">
        <v>0.5</v>
      </c>
      <c r="G691" s="40">
        <v>46023.0</v>
      </c>
    </row>
    <row r="692" ht="15.75" customHeight="1">
      <c r="A692" s="4" t="s">
        <v>93</v>
      </c>
      <c r="B692" s="4" t="s">
        <v>173</v>
      </c>
      <c r="C692" s="4" t="s">
        <v>174</v>
      </c>
      <c r="D692" s="4" t="s">
        <v>194</v>
      </c>
      <c r="E692" s="4" t="s">
        <v>1040</v>
      </c>
      <c r="F692" s="14">
        <v>0.5</v>
      </c>
      <c r="G692" s="40">
        <v>46023.0</v>
      </c>
    </row>
    <row r="693" ht="15.75" customHeight="1">
      <c r="A693" s="4" t="s">
        <v>93</v>
      </c>
      <c r="B693" s="4" t="s">
        <v>173</v>
      </c>
      <c r="C693" s="4" t="s">
        <v>174</v>
      </c>
      <c r="D693" s="4" t="s">
        <v>194</v>
      </c>
      <c r="E693" s="4" t="s">
        <v>1041</v>
      </c>
      <c r="F693" s="14">
        <v>0.5</v>
      </c>
      <c r="G693" s="40">
        <v>46054.0</v>
      </c>
    </row>
    <row r="694" ht="15.75" customHeight="1">
      <c r="A694" s="4" t="s">
        <v>93</v>
      </c>
      <c r="B694" s="4" t="s">
        <v>173</v>
      </c>
      <c r="C694" s="4" t="s">
        <v>174</v>
      </c>
      <c r="D694" s="4" t="s">
        <v>194</v>
      </c>
      <c r="E694" s="4" t="s">
        <v>1042</v>
      </c>
      <c r="F694" s="14">
        <v>0.5</v>
      </c>
      <c r="G694" s="40">
        <v>46054.0</v>
      </c>
    </row>
    <row r="695" ht="15.75" customHeight="1">
      <c r="A695" s="4" t="s">
        <v>93</v>
      </c>
      <c r="B695" s="4" t="s">
        <v>173</v>
      </c>
      <c r="C695" s="4" t="s">
        <v>174</v>
      </c>
      <c r="D695" s="4" t="s">
        <v>194</v>
      </c>
      <c r="E695" s="4" t="s">
        <v>1043</v>
      </c>
      <c r="F695" s="14">
        <v>0.5</v>
      </c>
      <c r="G695" s="40">
        <v>46054.0</v>
      </c>
    </row>
    <row r="696" ht="15.75" customHeight="1">
      <c r="A696" s="4" t="s">
        <v>93</v>
      </c>
      <c r="B696" s="4" t="s">
        <v>173</v>
      </c>
      <c r="C696" s="4" t="s">
        <v>174</v>
      </c>
      <c r="D696" s="4" t="s">
        <v>194</v>
      </c>
      <c r="E696" s="4" t="s">
        <v>1044</v>
      </c>
      <c r="F696" s="14">
        <v>0.5</v>
      </c>
      <c r="G696" s="40">
        <v>46054.0</v>
      </c>
    </row>
    <row r="697" ht="15.75" customHeight="1">
      <c r="A697" s="4" t="s">
        <v>93</v>
      </c>
      <c r="B697" s="4" t="s">
        <v>173</v>
      </c>
      <c r="C697" s="4" t="s">
        <v>174</v>
      </c>
      <c r="D697" s="4" t="s">
        <v>273</v>
      </c>
      <c r="E697" s="4" t="s">
        <v>1045</v>
      </c>
      <c r="F697" s="14">
        <v>1.0</v>
      </c>
      <c r="G697" s="40">
        <v>46054.0</v>
      </c>
    </row>
    <row r="698" ht="15.75" customHeight="1">
      <c r="A698" s="4" t="s">
        <v>93</v>
      </c>
      <c r="B698" s="4" t="s">
        <v>173</v>
      </c>
      <c r="C698" s="4" t="s">
        <v>174</v>
      </c>
      <c r="D698" s="4" t="s">
        <v>420</v>
      </c>
      <c r="E698" s="4" t="s">
        <v>1046</v>
      </c>
      <c r="F698" s="14">
        <v>0.25</v>
      </c>
      <c r="G698" s="40">
        <v>46054.0</v>
      </c>
    </row>
    <row r="699" ht="15.75" customHeight="1">
      <c r="A699" s="4" t="s">
        <v>93</v>
      </c>
      <c r="B699" s="4" t="s">
        <v>173</v>
      </c>
      <c r="C699" s="4" t="s">
        <v>174</v>
      </c>
      <c r="D699" s="4" t="s">
        <v>194</v>
      </c>
      <c r="E699" s="4" t="s">
        <v>1047</v>
      </c>
      <c r="F699" s="14">
        <v>0.5</v>
      </c>
      <c r="G699" s="40">
        <v>46054.0</v>
      </c>
    </row>
    <row r="700" ht="15.75" customHeight="1">
      <c r="A700" s="4" t="s">
        <v>93</v>
      </c>
      <c r="B700" s="4" t="s">
        <v>173</v>
      </c>
      <c r="C700" s="4" t="s">
        <v>174</v>
      </c>
      <c r="D700" s="4" t="s">
        <v>194</v>
      </c>
      <c r="E700" s="4" t="s">
        <v>1048</v>
      </c>
      <c r="F700" s="14">
        <v>0.5</v>
      </c>
      <c r="G700" s="40">
        <v>46054.0</v>
      </c>
    </row>
    <row r="701" ht="15.75" customHeight="1">
      <c r="A701" s="4" t="s">
        <v>93</v>
      </c>
      <c r="B701" s="4" t="s">
        <v>173</v>
      </c>
      <c r="C701" s="4" t="s">
        <v>174</v>
      </c>
      <c r="D701" s="4" t="s">
        <v>194</v>
      </c>
      <c r="E701" s="4" t="s">
        <v>1049</v>
      </c>
      <c r="F701" s="14">
        <v>0.5</v>
      </c>
      <c r="G701" s="40">
        <v>46054.0</v>
      </c>
    </row>
    <row r="702" ht="15.75" customHeight="1">
      <c r="A702" s="4" t="s">
        <v>93</v>
      </c>
      <c r="B702" s="4" t="s">
        <v>173</v>
      </c>
      <c r="C702" s="4" t="s">
        <v>174</v>
      </c>
      <c r="D702" s="4" t="s">
        <v>420</v>
      </c>
      <c r="E702" s="4" t="s">
        <v>782</v>
      </c>
      <c r="F702" s="14">
        <v>0.25</v>
      </c>
      <c r="G702" s="40">
        <v>46054.0</v>
      </c>
    </row>
    <row r="703" ht="15.75" customHeight="1">
      <c r="A703" s="4" t="s">
        <v>93</v>
      </c>
      <c r="B703" s="4" t="s">
        <v>173</v>
      </c>
      <c r="C703" s="4" t="s">
        <v>174</v>
      </c>
      <c r="D703" s="4" t="s">
        <v>420</v>
      </c>
      <c r="E703" s="4" t="s">
        <v>784</v>
      </c>
      <c r="F703" s="14">
        <v>0.25</v>
      </c>
      <c r="G703" s="40">
        <v>46054.0</v>
      </c>
    </row>
    <row r="704" ht="15.75" customHeight="1">
      <c r="A704" s="4" t="s">
        <v>93</v>
      </c>
      <c r="B704" s="4" t="s">
        <v>173</v>
      </c>
      <c r="C704" s="4" t="s">
        <v>174</v>
      </c>
      <c r="D704" s="4" t="s">
        <v>194</v>
      </c>
      <c r="E704" s="4" t="s">
        <v>1050</v>
      </c>
      <c r="F704" s="14">
        <v>0.5</v>
      </c>
      <c r="G704" s="40">
        <v>46054.0</v>
      </c>
    </row>
    <row r="705" ht="15.75" customHeight="1">
      <c r="A705" s="4" t="s">
        <v>93</v>
      </c>
      <c r="B705" s="4" t="s">
        <v>173</v>
      </c>
      <c r="C705" s="4" t="s">
        <v>174</v>
      </c>
      <c r="D705" s="4" t="s">
        <v>194</v>
      </c>
      <c r="E705" s="4" t="s">
        <v>785</v>
      </c>
      <c r="F705" s="14">
        <v>0.5</v>
      </c>
      <c r="G705" s="40">
        <v>46054.0</v>
      </c>
    </row>
    <row r="706" ht="15.75" customHeight="1">
      <c r="A706" s="4" t="s">
        <v>93</v>
      </c>
      <c r="B706" s="4" t="s">
        <v>173</v>
      </c>
      <c r="C706" s="4" t="s">
        <v>174</v>
      </c>
      <c r="D706" s="4" t="s">
        <v>420</v>
      </c>
      <c r="E706" s="4" t="s">
        <v>787</v>
      </c>
      <c r="F706" s="14">
        <v>0.25</v>
      </c>
      <c r="G706" s="40">
        <v>46054.0</v>
      </c>
    </row>
    <row r="707" ht="15.75" customHeight="1">
      <c r="A707" s="4" t="s">
        <v>93</v>
      </c>
      <c r="B707" s="4" t="s">
        <v>173</v>
      </c>
      <c r="C707" s="4" t="s">
        <v>174</v>
      </c>
      <c r="D707" s="4" t="s">
        <v>194</v>
      </c>
      <c r="E707" s="4" t="s">
        <v>1051</v>
      </c>
      <c r="F707" s="14">
        <v>0.5</v>
      </c>
      <c r="G707" s="40">
        <v>46054.0</v>
      </c>
    </row>
    <row r="708" ht="15.75" customHeight="1">
      <c r="A708" s="4" t="s">
        <v>93</v>
      </c>
      <c r="B708" s="4" t="s">
        <v>173</v>
      </c>
      <c r="C708" s="4" t="s">
        <v>174</v>
      </c>
      <c r="D708" s="4" t="s">
        <v>194</v>
      </c>
      <c r="E708" s="4" t="s">
        <v>1052</v>
      </c>
      <c r="F708" s="14">
        <v>0.5</v>
      </c>
      <c r="G708" s="40">
        <v>46054.0</v>
      </c>
    </row>
    <row r="709" ht="15.75" customHeight="1">
      <c r="A709" s="4" t="s">
        <v>93</v>
      </c>
      <c r="B709" s="4" t="s">
        <v>173</v>
      </c>
      <c r="C709" s="4" t="s">
        <v>174</v>
      </c>
      <c r="D709" s="4" t="s">
        <v>420</v>
      </c>
      <c r="E709" s="4" t="s">
        <v>788</v>
      </c>
      <c r="F709" s="14">
        <v>0.25</v>
      </c>
      <c r="G709" s="40">
        <v>46054.0</v>
      </c>
    </row>
    <row r="710" ht="15.75" customHeight="1">
      <c r="A710" s="4" t="s">
        <v>93</v>
      </c>
      <c r="B710" s="4" t="s">
        <v>173</v>
      </c>
      <c r="C710" s="4" t="s">
        <v>174</v>
      </c>
      <c r="D710" s="4" t="s">
        <v>420</v>
      </c>
      <c r="E710" s="4" t="s">
        <v>790</v>
      </c>
      <c r="F710" s="14">
        <v>0.25</v>
      </c>
      <c r="G710" s="40">
        <v>46054.0</v>
      </c>
    </row>
    <row r="711" ht="15.75" customHeight="1">
      <c r="A711" s="4" t="s">
        <v>93</v>
      </c>
      <c r="B711" s="4" t="s">
        <v>173</v>
      </c>
      <c r="C711" s="4" t="s">
        <v>174</v>
      </c>
      <c r="D711" s="4" t="s">
        <v>420</v>
      </c>
      <c r="E711" s="4" t="s">
        <v>791</v>
      </c>
      <c r="F711" s="14">
        <v>0.25</v>
      </c>
      <c r="G711" s="40">
        <v>46054.0</v>
      </c>
    </row>
    <row r="712" ht="15.75" customHeight="1">
      <c r="A712" s="4" t="s">
        <v>93</v>
      </c>
      <c r="B712" s="4" t="s">
        <v>173</v>
      </c>
      <c r="C712" s="4" t="s">
        <v>174</v>
      </c>
      <c r="D712" s="4" t="s">
        <v>194</v>
      </c>
      <c r="E712" s="4" t="s">
        <v>1053</v>
      </c>
      <c r="F712" s="14">
        <v>0.5</v>
      </c>
      <c r="G712" s="40">
        <v>46054.0</v>
      </c>
    </row>
    <row r="713" ht="15.75" customHeight="1">
      <c r="A713" s="4" t="s">
        <v>93</v>
      </c>
      <c r="B713" s="4" t="s">
        <v>173</v>
      </c>
      <c r="C713" s="4" t="s">
        <v>174</v>
      </c>
      <c r="D713" s="4" t="s">
        <v>420</v>
      </c>
      <c r="E713" s="4" t="s">
        <v>795</v>
      </c>
      <c r="F713" s="14">
        <v>0.25</v>
      </c>
      <c r="G713" s="40">
        <v>46054.0</v>
      </c>
    </row>
    <row r="714" ht="15.75" customHeight="1">
      <c r="A714" s="4" t="s">
        <v>93</v>
      </c>
      <c r="B714" s="4" t="s">
        <v>173</v>
      </c>
      <c r="C714" s="4" t="s">
        <v>174</v>
      </c>
      <c r="D714" s="4" t="s">
        <v>194</v>
      </c>
      <c r="E714" s="4" t="s">
        <v>1054</v>
      </c>
      <c r="F714" s="14">
        <v>0.5</v>
      </c>
      <c r="G714" s="40">
        <v>46054.0</v>
      </c>
    </row>
    <row r="715" ht="15.75" customHeight="1">
      <c r="A715" s="4" t="s">
        <v>93</v>
      </c>
      <c r="B715" s="4" t="s">
        <v>173</v>
      </c>
      <c r="C715" s="4" t="s">
        <v>174</v>
      </c>
      <c r="D715" s="4" t="s">
        <v>194</v>
      </c>
      <c r="E715" s="4" t="s">
        <v>1055</v>
      </c>
      <c r="F715" s="14">
        <v>0.5</v>
      </c>
      <c r="G715" s="40">
        <v>46054.0</v>
      </c>
    </row>
    <row r="716" ht="15.75" customHeight="1">
      <c r="A716" s="4" t="s">
        <v>93</v>
      </c>
      <c r="B716" s="4" t="s">
        <v>173</v>
      </c>
      <c r="C716" s="4" t="s">
        <v>174</v>
      </c>
      <c r="D716" s="4" t="s">
        <v>420</v>
      </c>
      <c r="E716" s="4" t="s">
        <v>798</v>
      </c>
      <c r="F716" s="14">
        <v>0.25</v>
      </c>
      <c r="G716" s="40">
        <v>46054.0</v>
      </c>
    </row>
    <row r="717" ht="15.75" customHeight="1">
      <c r="A717" s="4" t="s">
        <v>93</v>
      </c>
      <c r="B717" s="4" t="s">
        <v>173</v>
      </c>
      <c r="C717" s="4" t="s">
        <v>174</v>
      </c>
      <c r="D717" s="4" t="s">
        <v>194</v>
      </c>
      <c r="E717" s="4" t="s">
        <v>1056</v>
      </c>
      <c r="F717" s="14">
        <v>0.5</v>
      </c>
      <c r="G717" s="40">
        <v>46054.0</v>
      </c>
    </row>
    <row r="718" ht="15.75" customHeight="1">
      <c r="A718" s="4" t="s">
        <v>93</v>
      </c>
      <c r="B718" s="4" t="s">
        <v>173</v>
      </c>
      <c r="C718" s="4" t="s">
        <v>174</v>
      </c>
      <c r="D718" s="4" t="s">
        <v>420</v>
      </c>
      <c r="E718" s="4" t="s">
        <v>799</v>
      </c>
      <c r="F718" s="14">
        <v>0.25</v>
      </c>
      <c r="G718" s="40">
        <v>46054.0</v>
      </c>
    </row>
    <row r="719" ht="15.75" customHeight="1">
      <c r="A719" s="4" t="s">
        <v>93</v>
      </c>
      <c r="B719" s="4" t="s">
        <v>173</v>
      </c>
      <c r="C719" s="4" t="s">
        <v>174</v>
      </c>
      <c r="D719" s="4" t="s">
        <v>420</v>
      </c>
      <c r="E719" s="4" t="s">
        <v>1057</v>
      </c>
      <c r="F719" s="14">
        <v>0.25</v>
      </c>
      <c r="G719" s="40">
        <v>46054.0</v>
      </c>
    </row>
    <row r="720" ht="15.75" customHeight="1">
      <c r="A720" s="4" t="s">
        <v>93</v>
      </c>
      <c r="B720" s="4" t="s">
        <v>173</v>
      </c>
      <c r="C720" s="4" t="s">
        <v>174</v>
      </c>
      <c r="D720" s="4" t="s">
        <v>420</v>
      </c>
      <c r="E720" s="4" t="s">
        <v>1058</v>
      </c>
      <c r="F720" s="14">
        <v>0.25</v>
      </c>
      <c r="G720" s="40">
        <v>46054.0</v>
      </c>
    </row>
    <row r="721" ht="15.75" customHeight="1">
      <c r="A721" s="4" t="s">
        <v>93</v>
      </c>
      <c r="B721" s="4" t="s">
        <v>173</v>
      </c>
      <c r="C721" s="4" t="s">
        <v>174</v>
      </c>
      <c r="D721" s="4" t="s">
        <v>194</v>
      </c>
      <c r="E721" s="4" t="s">
        <v>1059</v>
      </c>
      <c r="F721" s="14">
        <v>0.5</v>
      </c>
      <c r="G721" s="40">
        <v>46054.0</v>
      </c>
    </row>
    <row r="722" ht="15.75" customHeight="1">
      <c r="A722" s="4" t="s">
        <v>93</v>
      </c>
      <c r="B722" s="4" t="s">
        <v>173</v>
      </c>
      <c r="C722" s="4" t="s">
        <v>174</v>
      </c>
      <c r="D722" s="4" t="s">
        <v>194</v>
      </c>
      <c r="E722" s="4" t="s">
        <v>1060</v>
      </c>
      <c r="F722" s="14">
        <v>0.5</v>
      </c>
      <c r="G722" s="40">
        <v>46054.0</v>
      </c>
    </row>
    <row r="723" ht="15.75" customHeight="1">
      <c r="A723" s="4" t="s">
        <v>93</v>
      </c>
      <c r="B723" s="4" t="s">
        <v>173</v>
      </c>
      <c r="C723" s="4" t="s">
        <v>174</v>
      </c>
      <c r="D723" s="4" t="s">
        <v>194</v>
      </c>
      <c r="E723" s="4" t="s">
        <v>1061</v>
      </c>
      <c r="F723" s="14">
        <v>0.5</v>
      </c>
      <c r="G723" s="40">
        <v>46054.0</v>
      </c>
    </row>
    <row r="724" ht="15.75" customHeight="1">
      <c r="A724" s="4" t="s">
        <v>93</v>
      </c>
      <c r="B724" s="4" t="s">
        <v>173</v>
      </c>
      <c r="C724" s="4" t="s">
        <v>174</v>
      </c>
      <c r="D724" s="4" t="s">
        <v>194</v>
      </c>
      <c r="E724" s="4" t="s">
        <v>1062</v>
      </c>
      <c r="F724" s="14">
        <v>0.5</v>
      </c>
      <c r="G724" s="40">
        <v>46082.0</v>
      </c>
    </row>
    <row r="725" ht="15.75" customHeight="1">
      <c r="A725" s="4" t="s">
        <v>93</v>
      </c>
      <c r="B725" s="4" t="s">
        <v>173</v>
      </c>
      <c r="C725" s="4" t="s">
        <v>174</v>
      </c>
      <c r="D725" s="4" t="s">
        <v>194</v>
      </c>
      <c r="E725" s="4" t="s">
        <v>810</v>
      </c>
      <c r="F725" s="14">
        <v>0.5</v>
      </c>
      <c r="G725" s="40">
        <v>46082.0</v>
      </c>
    </row>
    <row r="726" ht="15.75" customHeight="1">
      <c r="A726" s="4" t="s">
        <v>93</v>
      </c>
      <c r="B726" s="4" t="s">
        <v>173</v>
      </c>
      <c r="C726" s="4" t="s">
        <v>174</v>
      </c>
      <c r="D726" s="4" t="s">
        <v>194</v>
      </c>
      <c r="E726" s="4" t="s">
        <v>1063</v>
      </c>
      <c r="F726" s="14">
        <v>0.5</v>
      </c>
      <c r="G726" s="40">
        <v>46082.0</v>
      </c>
    </row>
    <row r="727" ht="15.75" customHeight="1">
      <c r="A727" s="4" t="s">
        <v>93</v>
      </c>
      <c r="B727" s="4" t="s">
        <v>173</v>
      </c>
      <c r="C727" s="4" t="s">
        <v>174</v>
      </c>
      <c r="D727" s="4" t="s">
        <v>273</v>
      </c>
      <c r="E727" s="4" t="s">
        <v>1064</v>
      </c>
      <c r="F727" s="14">
        <v>1.0</v>
      </c>
      <c r="G727" s="40">
        <v>46082.0</v>
      </c>
    </row>
    <row r="728" ht="15.75" customHeight="1">
      <c r="A728" s="4" t="s">
        <v>93</v>
      </c>
      <c r="B728" s="4" t="s">
        <v>173</v>
      </c>
      <c r="C728" s="4" t="s">
        <v>174</v>
      </c>
      <c r="D728" s="4" t="s">
        <v>194</v>
      </c>
      <c r="E728" s="4" t="s">
        <v>1065</v>
      </c>
      <c r="F728" s="14">
        <v>0.5</v>
      </c>
      <c r="G728" s="40">
        <v>46082.0</v>
      </c>
    </row>
    <row r="729" ht="15.75" customHeight="1">
      <c r="A729" s="4" t="s">
        <v>93</v>
      </c>
      <c r="B729" s="4" t="s">
        <v>173</v>
      </c>
      <c r="C729" s="4" t="s">
        <v>174</v>
      </c>
      <c r="D729" s="4" t="s">
        <v>194</v>
      </c>
      <c r="E729" s="4" t="s">
        <v>1066</v>
      </c>
      <c r="F729" s="14">
        <v>0.5</v>
      </c>
      <c r="G729" s="40">
        <v>46082.0</v>
      </c>
    </row>
    <row r="730" ht="15.75" customHeight="1">
      <c r="A730" s="4" t="s">
        <v>93</v>
      </c>
      <c r="B730" s="4" t="s">
        <v>173</v>
      </c>
      <c r="C730" s="4" t="s">
        <v>174</v>
      </c>
      <c r="D730" s="4" t="s">
        <v>194</v>
      </c>
      <c r="E730" s="4" t="s">
        <v>1067</v>
      </c>
      <c r="F730" s="14">
        <v>0.5</v>
      </c>
      <c r="G730" s="40">
        <v>46082.0</v>
      </c>
    </row>
    <row r="731" ht="15.75" customHeight="1">
      <c r="A731" s="4" t="s">
        <v>93</v>
      </c>
      <c r="B731" s="4" t="s">
        <v>173</v>
      </c>
      <c r="C731" s="4" t="s">
        <v>174</v>
      </c>
      <c r="D731" s="4" t="s">
        <v>194</v>
      </c>
      <c r="E731" s="4" t="s">
        <v>1068</v>
      </c>
      <c r="F731" s="14">
        <v>0.5</v>
      </c>
      <c r="G731" s="40">
        <v>46082.0</v>
      </c>
    </row>
    <row r="732" ht="15.75" customHeight="1">
      <c r="A732" s="4" t="s">
        <v>93</v>
      </c>
      <c r="B732" s="4" t="s">
        <v>173</v>
      </c>
      <c r="C732" s="4" t="s">
        <v>174</v>
      </c>
      <c r="D732" s="4" t="s">
        <v>194</v>
      </c>
      <c r="E732" s="4" t="s">
        <v>1069</v>
      </c>
      <c r="F732" s="14">
        <v>0.5</v>
      </c>
      <c r="G732" s="40">
        <v>46082.0</v>
      </c>
    </row>
    <row r="733" ht="15.75" customHeight="1">
      <c r="A733" s="4" t="s">
        <v>93</v>
      </c>
      <c r="B733" s="4" t="s">
        <v>173</v>
      </c>
      <c r="C733" s="4" t="s">
        <v>174</v>
      </c>
      <c r="D733" s="4" t="s">
        <v>194</v>
      </c>
      <c r="E733" s="4" t="s">
        <v>1070</v>
      </c>
      <c r="F733" s="14">
        <v>0.5</v>
      </c>
      <c r="G733" s="40">
        <v>46082.0</v>
      </c>
    </row>
    <row r="734" ht="15.75" customHeight="1">
      <c r="A734" s="4" t="s">
        <v>93</v>
      </c>
      <c r="B734" s="4" t="s">
        <v>173</v>
      </c>
      <c r="C734" s="4" t="s">
        <v>174</v>
      </c>
      <c r="D734" s="4" t="s">
        <v>194</v>
      </c>
      <c r="E734" s="4" t="s">
        <v>1071</v>
      </c>
      <c r="F734" s="14">
        <v>0.5</v>
      </c>
      <c r="G734" s="40">
        <v>46082.0</v>
      </c>
    </row>
    <row r="735" ht="15.75" customHeight="1">
      <c r="A735" s="4" t="s">
        <v>93</v>
      </c>
      <c r="B735" s="4" t="s">
        <v>173</v>
      </c>
      <c r="C735" s="4" t="s">
        <v>174</v>
      </c>
      <c r="D735" s="4" t="s">
        <v>194</v>
      </c>
      <c r="E735" s="4" t="s">
        <v>1072</v>
      </c>
      <c r="F735" s="14">
        <v>0.5</v>
      </c>
      <c r="G735" s="40">
        <v>46113.0</v>
      </c>
    </row>
    <row r="736" ht="15.75" customHeight="1">
      <c r="A736" s="4" t="s">
        <v>93</v>
      </c>
      <c r="B736" s="4" t="s">
        <v>173</v>
      </c>
      <c r="C736" s="4" t="s">
        <v>174</v>
      </c>
      <c r="D736" s="4" t="s">
        <v>194</v>
      </c>
      <c r="E736" s="4" t="s">
        <v>1073</v>
      </c>
      <c r="F736" s="14">
        <v>0.5</v>
      </c>
      <c r="G736" s="40">
        <v>46113.0</v>
      </c>
    </row>
    <row r="737" ht="15.75" customHeight="1">
      <c r="A737" s="4" t="s">
        <v>93</v>
      </c>
      <c r="B737" s="4" t="s">
        <v>173</v>
      </c>
      <c r="C737" s="4" t="s">
        <v>174</v>
      </c>
      <c r="D737" s="4" t="s">
        <v>194</v>
      </c>
      <c r="E737" s="4" t="s">
        <v>1074</v>
      </c>
      <c r="F737" s="14">
        <v>0.5</v>
      </c>
      <c r="G737" s="40">
        <v>46113.0</v>
      </c>
    </row>
    <row r="738" ht="15.75" customHeight="1">
      <c r="A738" s="4" t="s">
        <v>93</v>
      </c>
      <c r="B738" s="4" t="s">
        <v>173</v>
      </c>
      <c r="C738" s="4" t="s">
        <v>174</v>
      </c>
      <c r="D738" s="4" t="s">
        <v>194</v>
      </c>
      <c r="E738" s="4" t="s">
        <v>1075</v>
      </c>
      <c r="F738" s="14">
        <v>0.5</v>
      </c>
      <c r="G738" s="40">
        <v>46113.0</v>
      </c>
    </row>
    <row r="739" ht="15.75" customHeight="1">
      <c r="A739" s="4" t="s">
        <v>93</v>
      </c>
      <c r="B739" s="4" t="s">
        <v>173</v>
      </c>
      <c r="C739" s="4" t="s">
        <v>174</v>
      </c>
      <c r="D739" s="4" t="s">
        <v>194</v>
      </c>
      <c r="E739" s="4" t="s">
        <v>1076</v>
      </c>
      <c r="F739" s="14">
        <v>0.5</v>
      </c>
      <c r="G739" s="40">
        <v>46113.0</v>
      </c>
    </row>
    <row r="740" ht="15.75" customHeight="1">
      <c r="A740" s="4" t="s">
        <v>93</v>
      </c>
      <c r="B740" s="4" t="s">
        <v>173</v>
      </c>
      <c r="C740" s="4" t="s">
        <v>174</v>
      </c>
      <c r="D740" s="4" t="s">
        <v>194</v>
      </c>
      <c r="E740" s="4" t="s">
        <v>1077</v>
      </c>
      <c r="F740" s="14">
        <v>0.5</v>
      </c>
      <c r="G740" s="40">
        <v>46113.0</v>
      </c>
    </row>
    <row r="741" ht="15.75" customHeight="1">
      <c r="A741" s="4" t="s">
        <v>93</v>
      </c>
      <c r="B741" s="4" t="s">
        <v>173</v>
      </c>
      <c r="C741" s="4" t="s">
        <v>174</v>
      </c>
      <c r="D741" s="4" t="s">
        <v>194</v>
      </c>
      <c r="E741" s="4" t="s">
        <v>1078</v>
      </c>
      <c r="F741" s="14">
        <v>0.5</v>
      </c>
      <c r="G741" s="40">
        <v>46113.0</v>
      </c>
    </row>
    <row r="742" ht="15.75" customHeight="1">
      <c r="A742" s="4" t="s">
        <v>93</v>
      </c>
      <c r="B742" s="4" t="s">
        <v>173</v>
      </c>
      <c r="C742" s="4" t="s">
        <v>174</v>
      </c>
      <c r="D742" s="4" t="s">
        <v>194</v>
      </c>
      <c r="E742" s="4" t="s">
        <v>1079</v>
      </c>
      <c r="F742" s="14">
        <v>0.5</v>
      </c>
      <c r="G742" s="40">
        <v>46113.0</v>
      </c>
    </row>
    <row r="743" ht="15.75" customHeight="1">
      <c r="A743" s="4" t="s">
        <v>93</v>
      </c>
      <c r="B743" s="4" t="s">
        <v>173</v>
      </c>
      <c r="C743" s="4" t="s">
        <v>174</v>
      </c>
      <c r="D743" s="4" t="s">
        <v>194</v>
      </c>
      <c r="E743" s="4" t="s">
        <v>1080</v>
      </c>
      <c r="F743" s="14">
        <v>0.5</v>
      </c>
      <c r="G743" s="40">
        <v>46143.0</v>
      </c>
    </row>
    <row r="744" ht="15.75" customHeight="1">
      <c r="A744" s="4" t="s">
        <v>93</v>
      </c>
      <c r="B744" s="4" t="s">
        <v>173</v>
      </c>
      <c r="C744" s="4" t="s">
        <v>174</v>
      </c>
      <c r="D744" s="4" t="s">
        <v>194</v>
      </c>
      <c r="E744" s="4" t="s">
        <v>1081</v>
      </c>
      <c r="F744" s="14">
        <v>0.5</v>
      </c>
      <c r="G744" s="40">
        <v>46143.0</v>
      </c>
    </row>
    <row r="745" ht="15.75" customHeight="1">
      <c r="A745" s="4" t="s">
        <v>93</v>
      </c>
      <c r="B745" s="4" t="s">
        <v>173</v>
      </c>
      <c r="C745" s="4" t="s">
        <v>174</v>
      </c>
      <c r="D745" s="4" t="s">
        <v>194</v>
      </c>
      <c r="E745" s="4" t="s">
        <v>1082</v>
      </c>
      <c r="F745" s="14">
        <v>0.5</v>
      </c>
      <c r="G745" s="40">
        <v>46143.0</v>
      </c>
    </row>
    <row r="746" ht="15.75" customHeight="1">
      <c r="A746" s="4" t="s">
        <v>93</v>
      </c>
      <c r="B746" s="4" t="s">
        <v>173</v>
      </c>
      <c r="C746" s="4" t="s">
        <v>174</v>
      </c>
      <c r="D746" s="4" t="s">
        <v>194</v>
      </c>
      <c r="E746" s="4" t="s">
        <v>1083</v>
      </c>
      <c r="F746" s="14">
        <v>0.5</v>
      </c>
      <c r="G746" s="40">
        <v>46143.0</v>
      </c>
    </row>
    <row r="747" ht="15.75" customHeight="1">
      <c r="A747" s="4" t="s">
        <v>93</v>
      </c>
      <c r="B747" s="4" t="s">
        <v>173</v>
      </c>
      <c r="C747" s="4" t="s">
        <v>174</v>
      </c>
      <c r="D747" s="4" t="s">
        <v>194</v>
      </c>
      <c r="E747" s="4" t="s">
        <v>1084</v>
      </c>
      <c r="F747" s="14">
        <v>0.5</v>
      </c>
      <c r="G747" s="40">
        <v>46143.0</v>
      </c>
    </row>
    <row r="748" ht="15.75" customHeight="1">
      <c r="A748" s="4" t="s">
        <v>93</v>
      </c>
      <c r="B748" s="4" t="s">
        <v>173</v>
      </c>
      <c r="C748" s="4" t="s">
        <v>174</v>
      </c>
      <c r="D748" s="4" t="s">
        <v>194</v>
      </c>
      <c r="E748" s="4" t="s">
        <v>1085</v>
      </c>
      <c r="F748" s="14">
        <v>0.5</v>
      </c>
      <c r="G748" s="40">
        <v>46174.0</v>
      </c>
    </row>
    <row r="749" ht="15.75" customHeight="1">
      <c r="A749" s="4" t="s">
        <v>93</v>
      </c>
      <c r="B749" s="4" t="s">
        <v>173</v>
      </c>
      <c r="C749" s="4" t="s">
        <v>174</v>
      </c>
      <c r="D749" s="4" t="s">
        <v>194</v>
      </c>
      <c r="E749" s="4" t="s">
        <v>857</v>
      </c>
      <c r="F749" s="14">
        <v>0.5</v>
      </c>
      <c r="G749" s="40">
        <v>46174.0</v>
      </c>
    </row>
    <row r="750" ht="15.75" customHeight="1">
      <c r="A750" s="4" t="s">
        <v>93</v>
      </c>
      <c r="B750" s="4" t="s">
        <v>173</v>
      </c>
      <c r="C750" s="4" t="s">
        <v>174</v>
      </c>
      <c r="D750" s="4" t="s">
        <v>194</v>
      </c>
      <c r="E750" s="4" t="s">
        <v>1086</v>
      </c>
      <c r="F750" s="14">
        <v>0.5</v>
      </c>
      <c r="G750" s="40">
        <v>46174.0</v>
      </c>
    </row>
    <row r="751" ht="15.75" customHeight="1">
      <c r="A751" s="4" t="s">
        <v>93</v>
      </c>
      <c r="B751" s="4" t="s">
        <v>173</v>
      </c>
      <c r="C751" s="4" t="s">
        <v>174</v>
      </c>
      <c r="D751" s="4" t="s">
        <v>194</v>
      </c>
      <c r="E751" s="4" t="s">
        <v>1087</v>
      </c>
      <c r="F751" s="14">
        <v>0.5</v>
      </c>
      <c r="G751" s="40">
        <v>46174.0</v>
      </c>
    </row>
    <row r="752" ht="15.75" customHeight="1">
      <c r="A752" s="4" t="s">
        <v>93</v>
      </c>
      <c r="B752" s="4" t="s">
        <v>173</v>
      </c>
      <c r="C752" s="4" t="s">
        <v>174</v>
      </c>
      <c r="D752" s="4" t="s">
        <v>194</v>
      </c>
      <c r="E752" s="4" t="s">
        <v>1088</v>
      </c>
      <c r="F752" s="14">
        <v>0.5</v>
      </c>
      <c r="G752" s="40">
        <v>46174.0</v>
      </c>
    </row>
    <row r="753" ht="15.75" customHeight="1">
      <c r="A753" s="4" t="s">
        <v>93</v>
      </c>
      <c r="B753" s="4" t="s">
        <v>173</v>
      </c>
      <c r="C753" s="4" t="s">
        <v>174</v>
      </c>
      <c r="D753" s="4" t="s">
        <v>420</v>
      </c>
      <c r="E753" s="4" t="s">
        <v>1089</v>
      </c>
      <c r="F753" s="14">
        <v>0.25</v>
      </c>
      <c r="G753" s="40">
        <v>46174.0</v>
      </c>
    </row>
    <row r="754" ht="15.75" customHeight="1">
      <c r="A754" s="4" t="s">
        <v>93</v>
      </c>
      <c r="B754" s="4" t="s">
        <v>173</v>
      </c>
      <c r="C754" s="4" t="s">
        <v>174</v>
      </c>
      <c r="D754" s="4" t="s">
        <v>194</v>
      </c>
      <c r="E754" s="4" t="s">
        <v>1090</v>
      </c>
      <c r="F754" s="14">
        <v>0.5</v>
      </c>
      <c r="G754" s="40">
        <v>46174.0</v>
      </c>
    </row>
    <row r="755" ht="15.75" customHeight="1">
      <c r="A755" s="4" t="s">
        <v>93</v>
      </c>
      <c r="B755" s="4" t="s">
        <v>173</v>
      </c>
      <c r="C755" s="4" t="s">
        <v>174</v>
      </c>
      <c r="D755" s="4" t="s">
        <v>194</v>
      </c>
      <c r="E755" s="4" t="s">
        <v>1091</v>
      </c>
      <c r="F755" s="14">
        <v>0.5</v>
      </c>
      <c r="G755" s="40">
        <v>46174.0</v>
      </c>
    </row>
    <row r="756" ht="15.75" customHeight="1">
      <c r="A756" s="4" t="s">
        <v>93</v>
      </c>
      <c r="B756" s="4" t="s">
        <v>173</v>
      </c>
      <c r="C756" s="4" t="s">
        <v>174</v>
      </c>
      <c r="D756" s="4" t="s">
        <v>420</v>
      </c>
      <c r="E756" s="4" t="s">
        <v>1092</v>
      </c>
      <c r="F756" s="14">
        <v>0.25</v>
      </c>
      <c r="G756" s="40">
        <v>46174.0</v>
      </c>
    </row>
    <row r="757" ht="15.75" customHeight="1">
      <c r="A757" s="4" t="s">
        <v>93</v>
      </c>
      <c r="B757" s="4" t="s">
        <v>173</v>
      </c>
      <c r="C757" s="4" t="s">
        <v>174</v>
      </c>
      <c r="D757" s="4" t="s">
        <v>194</v>
      </c>
      <c r="E757" s="4" t="s">
        <v>1093</v>
      </c>
      <c r="F757" s="14">
        <v>0.5</v>
      </c>
      <c r="G757" s="40">
        <v>46174.0</v>
      </c>
    </row>
    <row r="758" ht="15.75" customHeight="1">
      <c r="A758" s="4" t="s">
        <v>93</v>
      </c>
      <c r="B758" s="4" t="s">
        <v>173</v>
      </c>
      <c r="C758" s="4" t="s">
        <v>174</v>
      </c>
      <c r="D758" s="4" t="s">
        <v>194</v>
      </c>
      <c r="E758" s="4" t="s">
        <v>1094</v>
      </c>
      <c r="F758" s="14">
        <v>0.5</v>
      </c>
      <c r="G758" s="40">
        <v>46204.0</v>
      </c>
    </row>
    <row r="759" ht="15.75" customHeight="1">
      <c r="A759" s="4" t="s">
        <v>93</v>
      </c>
      <c r="B759" s="4" t="s">
        <v>173</v>
      </c>
      <c r="C759" s="4" t="s">
        <v>174</v>
      </c>
      <c r="D759" s="4" t="s">
        <v>194</v>
      </c>
      <c r="E759" s="4" t="s">
        <v>1095</v>
      </c>
      <c r="F759" s="14">
        <v>0.5</v>
      </c>
      <c r="G759" s="40">
        <v>46204.0</v>
      </c>
    </row>
    <row r="760" ht="15.75" customHeight="1">
      <c r="A760" s="4" t="s">
        <v>93</v>
      </c>
      <c r="B760" s="4" t="s">
        <v>173</v>
      </c>
      <c r="C760" s="4" t="s">
        <v>174</v>
      </c>
      <c r="D760" s="4" t="s">
        <v>194</v>
      </c>
      <c r="E760" s="4" t="s">
        <v>1096</v>
      </c>
      <c r="F760" s="14">
        <v>0.5</v>
      </c>
      <c r="G760" s="40">
        <v>46204.0</v>
      </c>
    </row>
    <row r="761" ht="15.75" customHeight="1">
      <c r="A761" s="4" t="s">
        <v>93</v>
      </c>
      <c r="B761" s="4" t="s">
        <v>173</v>
      </c>
      <c r="C761" s="4" t="s">
        <v>174</v>
      </c>
      <c r="D761" s="4" t="s">
        <v>194</v>
      </c>
      <c r="E761" s="4" t="s">
        <v>1097</v>
      </c>
      <c r="F761" s="14">
        <v>0.5</v>
      </c>
      <c r="G761" s="40">
        <v>46204.0</v>
      </c>
    </row>
    <row r="762" ht="15.75" customHeight="1">
      <c r="A762" s="4" t="s">
        <v>93</v>
      </c>
      <c r="B762" s="4" t="s">
        <v>173</v>
      </c>
      <c r="C762" s="4" t="s">
        <v>174</v>
      </c>
      <c r="D762" s="4" t="s">
        <v>194</v>
      </c>
      <c r="E762" s="4" t="s">
        <v>1098</v>
      </c>
      <c r="F762" s="14">
        <v>0.5</v>
      </c>
      <c r="G762" s="40">
        <v>46204.0</v>
      </c>
    </row>
    <row r="763" ht="15.75" customHeight="1">
      <c r="A763" s="4" t="s">
        <v>93</v>
      </c>
      <c r="B763" s="4" t="s">
        <v>173</v>
      </c>
      <c r="C763" s="4" t="s">
        <v>174</v>
      </c>
      <c r="D763" s="4" t="s">
        <v>194</v>
      </c>
      <c r="E763" s="4" t="s">
        <v>1099</v>
      </c>
      <c r="F763" s="14">
        <v>0.5</v>
      </c>
      <c r="G763" s="40">
        <v>46204.0</v>
      </c>
    </row>
    <row r="764" ht="15.75" customHeight="1">
      <c r="A764" s="4" t="s">
        <v>93</v>
      </c>
      <c r="B764" s="4" t="s">
        <v>173</v>
      </c>
      <c r="C764" s="4" t="s">
        <v>174</v>
      </c>
      <c r="D764" s="4" t="s">
        <v>194</v>
      </c>
      <c r="E764" s="4" t="s">
        <v>1100</v>
      </c>
      <c r="F764" s="14">
        <v>0.5</v>
      </c>
      <c r="G764" s="40">
        <v>46204.0</v>
      </c>
    </row>
    <row r="765" ht="15.75" customHeight="1">
      <c r="A765" s="4" t="s">
        <v>93</v>
      </c>
      <c r="B765" s="4" t="s">
        <v>173</v>
      </c>
      <c r="C765" s="4" t="s">
        <v>174</v>
      </c>
      <c r="D765" s="4" t="s">
        <v>194</v>
      </c>
      <c r="E765" s="4" t="s">
        <v>1101</v>
      </c>
      <c r="F765" s="14">
        <v>0.5</v>
      </c>
      <c r="G765" s="40">
        <v>46204.0</v>
      </c>
    </row>
    <row r="766" ht="15.75" customHeight="1">
      <c r="A766" s="4" t="s">
        <v>93</v>
      </c>
      <c r="B766" s="4" t="s">
        <v>173</v>
      </c>
      <c r="C766" s="4" t="s">
        <v>174</v>
      </c>
      <c r="D766" s="4" t="s">
        <v>194</v>
      </c>
      <c r="E766" s="4" t="s">
        <v>1102</v>
      </c>
      <c r="F766" s="14">
        <v>0.5</v>
      </c>
      <c r="G766" s="40">
        <v>46235.0</v>
      </c>
    </row>
    <row r="767" ht="15.75" customHeight="1">
      <c r="A767" s="4" t="s">
        <v>93</v>
      </c>
      <c r="B767" s="4" t="s">
        <v>170</v>
      </c>
      <c r="C767" s="4" t="s">
        <v>171</v>
      </c>
      <c r="D767" s="4" t="s">
        <v>194</v>
      </c>
      <c r="E767" s="4" t="s">
        <v>1103</v>
      </c>
      <c r="F767" s="14">
        <v>0.5</v>
      </c>
      <c r="G767" s="40">
        <v>46023.0</v>
      </c>
    </row>
    <row r="768" ht="15.75" customHeight="1">
      <c r="A768" s="4" t="s">
        <v>93</v>
      </c>
      <c r="B768" s="4" t="s">
        <v>170</v>
      </c>
      <c r="C768" s="4" t="s">
        <v>171</v>
      </c>
      <c r="D768" s="4" t="s">
        <v>194</v>
      </c>
      <c r="E768" s="4" t="s">
        <v>1104</v>
      </c>
      <c r="F768" s="14">
        <v>0.5</v>
      </c>
      <c r="G768" s="40">
        <v>46023.0</v>
      </c>
    </row>
    <row r="769" ht="15.75" customHeight="1">
      <c r="A769" s="4" t="s">
        <v>93</v>
      </c>
      <c r="B769" s="4" t="s">
        <v>170</v>
      </c>
      <c r="C769" s="4" t="s">
        <v>171</v>
      </c>
      <c r="D769" s="4" t="s">
        <v>194</v>
      </c>
      <c r="E769" s="4" t="s">
        <v>1105</v>
      </c>
      <c r="F769" s="14">
        <v>0.5</v>
      </c>
      <c r="G769" s="40">
        <v>46023.0</v>
      </c>
    </row>
    <row r="770" ht="15.75" customHeight="1">
      <c r="A770" s="4" t="s">
        <v>93</v>
      </c>
      <c r="B770" s="4" t="s">
        <v>170</v>
      </c>
      <c r="C770" s="4" t="s">
        <v>171</v>
      </c>
      <c r="D770" s="4" t="s">
        <v>194</v>
      </c>
      <c r="E770" s="4" t="s">
        <v>1106</v>
      </c>
      <c r="F770" s="14">
        <v>0.5</v>
      </c>
      <c r="G770" s="40">
        <v>46023.0</v>
      </c>
    </row>
    <row r="771" ht="15.75" customHeight="1">
      <c r="A771" s="4" t="s">
        <v>93</v>
      </c>
      <c r="B771" s="4" t="s">
        <v>170</v>
      </c>
      <c r="C771" s="4" t="s">
        <v>171</v>
      </c>
      <c r="D771" s="4" t="s">
        <v>194</v>
      </c>
      <c r="E771" s="4" t="s">
        <v>1107</v>
      </c>
      <c r="F771" s="14">
        <v>0.5</v>
      </c>
      <c r="G771" s="40">
        <v>46023.0</v>
      </c>
    </row>
    <row r="772" ht="15.75" customHeight="1">
      <c r="A772" s="4" t="s">
        <v>93</v>
      </c>
      <c r="B772" s="4" t="s">
        <v>170</v>
      </c>
      <c r="C772" s="4" t="s">
        <v>171</v>
      </c>
      <c r="D772" s="4" t="s">
        <v>194</v>
      </c>
      <c r="E772" s="4" t="s">
        <v>1108</v>
      </c>
      <c r="F772" s="14">
        <v>0.5</v>
      </c>
      <c r="G772" s="40">
        <v>46023.0</v>
      </c>
    </row>
    <row r="773" ht="15.75" customHeight="1">
      <c r="A773" s="4" t="s">
        <v>93</v>
      </c>
      <c r="B773" s="4" t="s">
        <v>170</v>
      </c>
      <c r="C773" s="4" t="s">
        <v>171</v>
      </c>
      <c r="D773" s="4" t="s">
        <v>194</v>
      </c>
      <c r="E773" s="4" t="s">
        <v>1109</v>
      </c>
      <c r="F773" s="14">
        <v>0.5</v>
      </c>
      <c r="G773" s="40">
        <v>46023.0</v>
      </c>
    </row>
    <row r="774" ht="15.75" customHeight="1">
      <c r="A774" s="4" t="s">
        <v>93</v>
      </c>
      <c r="B774" s="4" t="s">
        <v>170</v>
      </c>
      <c r="C774" s="4" t="s">
        <v>171</v>
      </c>
      <c r="D774" s="4" t="s">
        <v>194</v>
      </c>
      <c r="E774" s="4" t="s">
        <v>1110</v>
      </c>
      <c r="F774" s="14">
        <v>0.5</v>
      </c>
      <c r="G774" s="40">
        <v>46023.0</v>
      </c>
    </row>
    <row r="775" ht="15.75" customHeight="1">
      <c r="A775" s="4" t="s">
        <v>93</v>
      </c>
      <c r="B775" s="4" t="s">
        <v>170</v>
      </c>
      <c r="C775" s="4" t="s">
        <v>171</v>
      </c>
      <c r="D775" s="4" t="s">
        <v>194</v>
      </c>
      <c r="E775" s="4" t="s">
        <v>1111</v>
      </c>
      <c r="F775" s="14">
        <v>0.5</v>
      </c>
      <c r="G775" s="40">
        <v>46023.0</v>
      </c>
    </row>
    <row r="776" ht="15.75" customHeight="1">
      <c r="A776" s="4" t="s">
        <v>93</v>
      </c>
      <c r="B776" s="4" t="s">
        <v>170</v>
      </c>
      <c r="C776" s="4" t="s">
        <v>171</v>
      </c>
      <c r="D776" s="4" t="s">
        <v>273</v>
      </c>
      <c r="E776" s="4" t="s">
        <v>1112</v>
      </c>
      <c r="F776" s="14">
        <v>1.0</v>
      </c>
      <c r="G776" s="40">
        <v>46023.0</v>
      </c>
    </row>
    <row r="777" ht="15.75" customHeight="1">
      <c r="A777" s="4" t="s">
        <v>93</v>
      </c>
      <c r="B777" s="4" t="s">
        <v>170</v>
      </c>
      <c r="C777" s="4" t="s">
        <v>171</v>
      </c>
      <c r="D777" s="4" t="s">
        <v>194</v>
      </c>
      <c r="E777" s="4" t="s">
        <v>1113</v>
      </c>
      <c r="F777" s="14">
        <v>0.5</v>
      </c>
      <c r="G777" s="40">
        <v>46054.0</v>
      </c>
    </row>
    <row r="778" ht="15.75" customHeight="1">
      <c r="A778" s="4" t="s">
        <v>93</v>
      </c>
      <c r="B778" s="4" t="s">
        <v>170</v>
      </c>
      <c r="C778" s="4" t="s">
        <v>171</v>
      </c>
      <c r="D778" s="4" t="s">
        <v>194</v>
      </c>
      <c r="E778" s="4" t="s">
        <v>1114</v>
      </c>
      <c r="F778" s="14">
        <v>0.5</v>
      </c>
      <c r="G778" s="40">
        <v>46054.0</v>
      </c>
    </row>
    <row r="779" ht="15.75" customHeight="1">
      <c r="A779" s="4" t="s">
        <v>93</v>
      </c>
      <c r="B779" s="4" t="s">
        <v>170</v>
      </c>
      <c r="C779" s="4" t="s">
        <v>171</v>
      </c>
      <c r="D779" s="4" t="s">
        <v>194</v>
      </c>
      <c r="E779" s="4" t="s">
        <v>1114</v>
      </c>
      <c r="F779" s="14">
        <v>0.5</v>
      </c>
      <c r="G779" s="40">
        <v>46054.0</v>
      </c>
    </row>
    <row r="780" ht="15.75" customHeight="1">
      <c r="A780" s="4" t="s">
        <v>93</v>
      </c>
      <c r="B780" s="4" t="s">
        <v>170</v>
      </c>
      <c r="C780" s="4" t="s">
        <v>171</v>
      </c>
      <c r="D780" s="4" t="s">
        <v>194</v>
      </c>
      <c r="E780" s="4" t="s">
        <v>1115</v>
      </c>
      <c r="F780" s="14">
        <v>0.5</v>
      </c>
      <c r="G780" s="40">
        <v>46054.0</v>
      </c>
    </row>
    <row r="781" ht="15.75" customHeight="1">
      <c r="A781" s="4" t="s">
        <v>93</v>
      </c>
      <c r="B781" s="4" t="s">
        <v>170</v>
      </c>
      <c r="C781" s="4" t="s">
        <v>171</v>
      </c>
      <c r="D781" s="4" t="s">
        <v>194</v>
      </c>
      <c r="E781" s="4" t="s">
        <v>1116</v>
      </c>
      <c r="F781" s="14">
        <v>0.5</v>
      </c>
      <c r="G781" s="40">
        <v>46054.0</v>
      </c>
    </row>
    <row r="782" ht="15.75" customHeight="1">
      <c r="A782" s="4" t="s">
        <v>93</v>
      </c>
      <c r="B782" s="4" t="s">
        <v>170</v>
      </c>
      <c r="C782" s="4" t="s">
        <v>171</v>
      </c>
      <c r="D782" s="4" t="s">
        <v>194</v>
      </c>
      <c r="E782" s="4" t="s">
        <v>1117</v>
      </c>
      <c r="F782" s="14">
        <v>0.5</v>
      </c>
      <c r="G782" s="40">
        <v>46054.0</v>
      </c>
    </row>
    <row r="783" ht="15.75" customHeight="1">
      <c r="A783" s="4" t="s">
        <v>93</v>
      </c>
      <c r="B783" s="4" t="s">
        <v>170</v>
      </c>
      <c r="C783" s="4" t="s">
        <v>171</v>
      </c>
      <c r="D783" s="4" t="s">
        <v>273</v>
      </c>
      <c r="E783" s="4" t="s">
        <v>1118</v>
      </c>
      <c r="F783" s="14">
        <v>1.0</v>
      </c>
      <c r="G783" s="40">
        <v>46054.0</v>
      </c>
    </row>
    <row r="784" ht="15.75" customHeight="1">
      <c r="A784" s="4" t="s">
        <v>93</v>
      </c>
      <c r="B784" s="4" t="s">
        <v>170</v>
      </c>
      <c r="C784" s="4" t="s">
        <v>171</v>
      </c>
      <c r="D784" s="4" t="s">
        <v>194</v>
      </c>
      <c r="E784" s="4" t="s">
        <v>1119</v>
      </c>
      <c r="F784" s="14">
        <v>0.5</v>
      </c>
      <c r="G784" s="40">
        <v>46054.0</v>
      </c>
    </row>
    <row r="785" ht="15.75" customHeight="1">
      <c r="A785" s="4" t="s">
        <v>93</v>
      </c>
      <c r="B785" s="4" t="s">
        <v>170</v>
      </c>
      <c r="C785" s="4" t="s">
        <v>171</v>
      </c>
      <c r="D785" s="4" t="s">
        <v>194</v>
      </c>
      <c r="E785" s="4" t="s">
        <v>1120</v>
      </c>
      <c r="F785" s="14">
        <v>0.5</v>
      </c>
      <c r="G785" s="40">
        <v>46054.0</v>
      </c>
    </row>
    <row r="786" ht="15.75" customHeight="1">
      <c r="A786" s="4" t="s">
        <v>93</v>
      </c>
      <c r="B786" s="4" t="s">
        <v>170</v>
      </c>
      <c r="C786" s="4" t="s">
        <v>171</v>
      </c>
      <c r="D786" s="4" t="s">
        <v>194</v>
      </c>
      <c r="E786" s="4" t="s">
        <v>1121</v>
      </c>
      <c r="F786" s="14">
        <v>0.5</v>
      </c>
      <c r="G786" s="40">
        <v>46054.0</v>
      </c>
    </row>
    <row r="787" ht="15.75" customHeight="1">
      <c r="A787" s="4" t="s">
        <v>93</v>
      </c>
      <c r="B787" s="4" t="s">
        <v>170</v>
      </c>
      <c r="C787" s="4" t="s">
        <v>171</v>
      </c>
      <c r="D787" s="4" t="s">
        <v>273</v>
      </c>
      <c r="E787" s="4" t="s">
        <v>1122</v>
      </c>
      <c r="F787" s="14">
        <v>1.0</v>
      </c>
      <c r="G787" s="40">
        <v>46054.0</v>
      </c>
    </row>
    <row r="788" ht="15.75" customHeight="1">
      <c r="A788" s="4" t="s">
        <v>93</v>
      </c>
      <c r="B788" s="4" t="s">
        <v>170</v>
      </c>
      <c r="C788" s="4" t="s">
        <v>171</v>
      </c>
      <c r="D788" s="4" t="s">
        <v>194</v>
      </c>
      <c r="E788" s="4" t="s">
        <v>1123</v>
      </c>
      <c r="F788" s="14">
        <v>0.5</v>
      </c>
      <c r="G788" s="40">
        <v>46054.0</v>
      </c>
    </row>
    <row r="789" ht="15.75" customHeight="1">
      <c r="A789" s="4" t="s">
        <v>93</v>
      </c>
      <c r="B789" s="4" t="s">
        <v>170</v>
      </c>
      <c r="C789" s="4" t="s">
        <v>171</v>
      </c>
      <c r="D789" s="4" t="s">
        <v>273</v>
      </c>
      <c r="E789" s="4" t="s">
        <v>804</v>
      </c>
      <c r="F789" s="14">
        <v>1.0</v>
      </c>
      <c r="G789" s="40">
        <v>46054.0</v>
      </c>
    </row>
    <row r="790" ht="15.75" customHeight="1">
      <c r="A790" s="4" t="s">
        <v>93</v>
      </c>
      <c r="B790" s="4" t="s">
        <v>170</v>
      </c>
      <c r="C790" s="4" t="s">
        <v>171</v>
      </c>
      <c r="D790" s="4" t="s">
        <v>420</v>
      </c>
      <c r="E790" s="4" t="s">
        <v>1124</v>
      </c>
      <c r="F790" s="14">
        <v>0.25</v>
      </c>
      <c r="G790" s="40">
        <v>46082.0</v>
      </c>
    </row>
    <row r="791" ht="15.75" customHeight="1">
      <c r="A791" s="4" t="s">
        <v>93</v>
      </c>
      <c r="B791" s="4" t="s">
        <v>170</v>
      </c>
      <c r="C791" s="4" t="s">
        <v>171</v>
      </c>
      <c r="D791" s="4" t="s">
        <v>194</v>
      </c>
      <c r="E791" s="4" t="s">
        <v>1125</v>
      </c>
      <c r="F791" s="14">
        <v>0.5</v>
      </c>
      <c r="G791" s="40">
        <v>46082.0</v>
      </c>
    </row>
    <row r="792" ht="15.75" customHeight="1">
      <c r="A792" s="4" t="s">
        <v>93</v>
      </c>
      <c r="B792" s="4" t="s">
        <v>170</v>
      </c>
      <c r="C792" s="4" t="s">
        <v>171</v>
      </c>
      <c r="D792" s="4" t="s">
        <v>194</v>
      </c>
      <c r="E792" s="4" t="s">
        <v>1126</v>
      </c>
      <c r="F792" s="14">
        <v>0.5</v>
      </c>
      <c r="G792" s="40">
        <v>46082.0</v>
      </c>
    </row>
    <row r="793" ht="15.75" customHeight="1">
      <c r="A793" s="4" t="s">
        <v>93</v>
      </c>
      <c r="B793" s="4" t="s">
        <v>170</v>
      </c>
      <c r="C793" s="4" t="s">
        <v>171</v>
      </c>
      <c r="D793" s="4" t="s">
        <v>194</v>
      </c>
      <c r="E793" s="4" t="s">
        <v>1127</v>
      </c>
      <c r="F793" s="14">
        <v>0.5</v>
      </c>
      <c r="G793" s="40">
        <v>46082.0</v>
      </c>
    </row>
    <row r="794" ht="15.75" customHeight="1">
      <c r="A794" s="4" t="s">
        <v>93</v>
      </c>
      <c r="B794" s="4" t="s">
        <v>170</v>
      </c>
      <c r="C794" s="4" t="s">
        <v>171</v>
      </c>
      <c r="D794" s="4" t="s">
        <v>194</v>
      </c>
      <c r="E794" s="4" t="s">
        <v>1128</v>
      </c>
      <c r="F794" s="14">
        <v>0.5</v>
      </c>
      <c r="G794" s="40">
        <v>46082.0</v>
      </c>
    </row>
    <row r="795" ht="15.75" customHeight="1">
      <c r="A795" s="4" t="s">
        <v>93</v>
      </c>
      <c r="B795" s="4" t="s">
        <v>170</v>
      </c>
      <c r="C795" s="4" t="s">
        <v>171</v>
      </c>
      <c r="D795" s="4" t="s">
        <v>194</v>
      </c>
      <c r="E795" s="4" t="s">
        <v>1129</v>
      </c>
      <c r="F795" s="14">
        <v>0.5</v>
      </c>
      <c r="G795" s="40">
        <v>46082.0</v>
      </c>
    </row>
    <row r="796" ht="15.75" customHeight="1">
      <c r="A796" s="4" t="s">
        <v>93</v>
      </c>
      <c r="B796" s="4" t="s">
        <v>170</v>
      </c>
      <c r="C796" s="4" t="s">
        <v>171</v>
      </c>
      <c r="D796" s="4" t="s">
        <v>194</v>
      </c>
      <c r="E796" s="4" t="s">
        <v>1130</v>
      </c>
      <c r="F796" s="14">
        <v>0.5</v>
      </c>
      <c r="G796" s="40">
        <v>46082.0</v>
      </c>
    </row>
    <row r="797" ht="15.75" customHeight="1">
      <c r="A797" s="4" t="s">
        <v>93</v>
      </c>
      <c r="B797" s="4" t="s">
        <v>170</v>
      </c>
      <c r="C797" s="4" t="s">
        <v>171</v>
      </c>
      <c r="D797" s="4" t="s">
        <v>194</v>
      </c>
      <c r="E797" s="4" t="s">
        <v>1131</v>
      </c>
      <c r="F797" s="14">
        <v>0.5</v>
      </c>
      <c r="G797" s="40">
        <v>46082.0</v>
      </c>
    </row>
    <row r="798" ht="15.75" customHeight="1">
      <c r="A798" s="4" t="s">
        <v>93</v>
      </c>
      <c r="B798" s="4" t="s">
        <v>170</v>
      </c>
      <c r="C798" s="4" t="s">
        <v>171</v>
      </c>
      <c r="D798" s="4" t="s">
        <v>273</v>
      </c>
      <c r="E798" s="4" t="s">
        <v>1132</v>
      </c>
      <c r="F798" s="14">
        <v>1.0</v>
      </c>
      <c r="G798" s="40">
        <v>46082.0</v>
      </c>
    </row>
    <row r="799" ht="15.75" customHeight="1">
      <c r="A799" s="4" t="s">
        <v>93</v>
      </c>
      <c r="B799" s="4" t="s">
        <v>170</v>
      </c>
      <c r="C799" s="4" t="s">
        <v>171</v>
      </c>
      <c r="D799" s="4" t="s">
        <v>194</v>
      </c>
      <c r="E799" s="4" t="s">
        <v>1133</v>
      </c>
      <c r="F799" s="14">
        <v>0.5</v>
      </c>
      <c r="G799" s="40">
        <v>46113.0</v>
      </c>
    </row>
    <row r="800" ht="15.75" customHeight="1">
      <c r="A800" s="4" t="s">
        <v>93</v>
      </c>
      <c r="B800" s="4" t="s">
        <v>170</v>
      </c>
      <c r="C800" s="4" t="s">
        <v>171</v>
      </c>
      <c r="D800" s="4" t="s">
        <v>194</v>
      </c>
      <c r="E800" s="4" t="s">
        <v>1134</v>
      </c>
      <c r="F800" s="14">
        <v>0.5</v>
      </c>
      <c r="G800" s="40">
        <v>46113.0</v>
      </c>
    </row>
    <row r="801" ht="15.75" customHeight="1">
      <c r="A801" s="4" t="s">
        <v>93</v>
      </c>
      <c r="B801" s="4" t="s">
        <v>170</v>
      </c>
      <c r="C801" s="4" t="s">
        <v>171</v>
      </c>
      <c r="D801" s="4" t="s">
        <v>194</v>
      </c>
      <c r="E801" s="4" t="s">
        <v>1135</v>
      </c>
      <c r="F801" s="14">
        <v>0.5</v>
      </c>
      <c r="G801" s="40">
        <v>46113.0</v>
      </c>
    </row>
    <row r="802" ht="15.75" customHeight="1">
      <c r="A802" s="4" t="s">
        <v>93</v>
      </c>
      <c r="B802" s="4" t="s">
        <v>170</v>
      </c>
      <c r="C802" s="4" t="s">
        <v>171</v>
      </c>
      <c r="D802" s="4" t="s">
        <v>194</v>
      </c>
      <c r="E802" s="4" t="s">
        <v>1136</v>
      </c>
      <c r="F802" s="14">
        <v>0.5</v>
      </c>
      <c r="G802" s="40">
        <v>46113.0</v>
      </c>
    </row>
    <row r="803" ht="15.75" customHeight="1">
      <c r="A803" s="4" t="s">
        <v>93</v>
      </c>
      <c r="B803" s="4" t="s">
        <v>170</v>
      </c>
      <c r="C803" s="4" t="s">
        <v>171</v>
      </c>
      <c r="D803" s="4" t="s">
        <v>420</v>
      </c>
      <c r="E803" s="4" t="s">
        <v>1137</v>
      </c>
      <c r="F803" s="14">
        <v>0.25</v>
      </c>
      <c r="G803" s="40">
        <v>46113.0</v>
      </c>
    </row>
    <row r="804" ht="15.75" customHeight="1">
      <c r="A804" s="4" t="s">
        <v>93</v>
      </c>
      <c r="B804" s="4" t="s">
        <v>170</v>
      </c>
      <c r="C804" s="4" t="s">
        <v>171</v>
      </c>
      <c r="D804" s="4" t="s">
        <v>194</v>
      </c>
      <c r="E804" s="4" t="s">
        <v>1138</v>
      </c>
      <c r="F804" s="14">
        <v>0.5</v>
      </c>
      <c r="G804" s="40">
        <v>46113.0</v>
      </c>
    </row>
    <row r="805" ht="15.75" customHeight="1">
      <c r="A805" s="4" t="s">
        <v>93</v>
      </c>
      <c r="B805" s="4" t="s">
        <v>170</v>
      </c>
      <c r="C805" s="4" t="s">
        <v>171</v>
      </c>
      <c r="D805" s="4" t="s">
        <v>194</v>
      </c>
      <c r="E805" s="4" t="s">
        <v>1139</v>
      </c>
      <c r="F805" s="14">
        <v>0.5</v>
      </c>
      <c r="G805" s="40">
        <v>46113.0</v>
      </c>
    </row>
    <row r="806" ht="15.75" customHeight="1">
      <c r="A806" s="4" t="s">
        <v>93</v>
      </c>
      <c r="B806" s="4" t="s">
        <v>170</v>
      </c>
      <c r="C806" s="4" t="s">
        <v>171</v>
      </c>
      <c r="D806" s="4" t="s">
        <v>194</v>
      </c>
      <c r="E806" s="4" t="s">
        <v>1140</v>
      </c>
      <c r="F806" s="14">
        <v>0.5</v>
      </c>
      <c r="G806" s="40">
        <v>46113.0</v>
      </c>
    </row>
    <row r="807" ht="15.75" customHeight="1">
      <c r="A807" s="4" t="s">
        <v>93</v>
      </c>
      <c r="B807" s="4" t="s">
        <v>170</v>
      </c>
      <c r="C807" s="4" t="s">
        <v>171</v>
      </c>
      <c r="D807" s="4" t="s">
        <v>194</v>
      </c>
      <c r="E807" s="4" t="s">
        <v>1141</v>
      </c>
      <c r="F807" s="14">
        <v>0.5</v>
      </c>
      <c r="G807" s="40">
        <v>46113.0</v>
      </c>
    </row>
    <row r="808" ht="15.75" customHeight="1">
      <c r="A808" s="4" t="s">
        <v>93</v>
      </c>
      <c r="B808" s="4" t="s">
        <v>170</v>
      </c>
      <c r="C808" s="4" t="s">
        <v>171</v>
      </c>
      <c r="D808" s="4" t="s">
        <v>194</v>
      </c>
      <c r="E808" s="4" t="s">
        <v>1142</v>
      </c>
      <c r="F808" s="14">
        <v>0.5</v>
      </c>
      <c r="G808" s="40">
        <v>46113.0</v>
      </c>
    </row>
    <row r="809" ht="15.75" customHeight="1">
      <c r="A809" s="4" t="s">
        <v>93</v>
      </c>
      <c r="B809" s="4" t="s">
        <v>170</v>
      </c>
      <c r="C809" s="4" t="s">
        <v>171</v>
      </c>
      <c r="D809" s="4" t="s">
        <v>194</v>
      </c>
      <c r="E809" s="4" t="s">
        <v>1143</v>
      </c>
      <c r="F809" s="14">
        <v>0.5</v>
      </c>
      <c r="G809" s="40">
        <v>46113.0</v>
      </c>
    </row>
    <row r="810" ht="15.75" customHeight="1">
      <c r="A810" s="4" t="s">
        <v>93</v>
      </c>
      <c r="B810" s="4" t="s">
        <v>170</v>
      </c>
      <c r="C810" s="4" t="s">
        <v>171</v>
      </c>
      <c r="D810" s="4" t="s">
        <v>194</v>
      </c>
      <c r="E810" s="4" t="s">
        <v>1144</v>
      </c>
      <c r="F810" s="14">
        <v>0.5</v>
      </c>
      <c r="G810" s="40">
        <v>46143.0</v>
      </c>
    </row>
    <row r="811" ht="15.75" customHeight="1">
      <c r="A811" s="4" t="s">
        <v>93</v>
      </c>
      <c r="B811" s="4" t="s">
        <v>170</v>
      </c>
      <c r="C811" s="4" t="s">
        <v>171</v>
      </c>
      <c r="D811" s="4" t="s">
        <v>194</v>
      </c>
      <c r="E811" s="4" t="s">
        <v>1145</v>
      </c>
      <c r="F811" s="14">
        <v>0.5</v>
      </c>
      <c r="G811" s="40">
        <v>46143.0</v>
      </c>
    </row>
    <row r="812" ht="15.75" customHeight="1">
      <c r="A812" s="4" t="s">
        <v>93</v>
      </c>
      <c r="B812" s="4" t="s">
        <v>170</v>
      </c>
      <c r="C812" s="4" t="s">
        <v>171</v>
      </c>
      <c r="D812" s="4" t="s">
        <v>194</v>
      </c>
      <c r="E812" s="4" t="s">
        <v>1146</v>
      </c>
      <c r="F812" s="14">
        <v>0.5</v>
      </c>
      <c r="G812" s="40">
        <v>46143.0</v>
      </c>
    </row>
    <row r="813" ht="15.75" customHeight="1">
      <c r="A813" s="4" t="s">
        <v>93</v>
      </c>
      <c r="B813" s="4" t="s">
        <v>170</v>
      </c>
      <c r="C813" s="4" t="s">
        <v>171</v>
      </c>
      <c r="D813" s="4" t="s">
        <v>194</v>
      </c>
      <c r="E813" s="4" t="s">
        <v>1147</v>
      </c>
      <c r="F813" s="14">
        <v>0.5</v>
      </c>
      <c r="G813" s="40">
        <v>46143.0</v>
      </c>
    </row>
    <row r="814" ht="15.75" customHeight="1">
      <c r="A814" s="4" t="s">
        <v>93</v>
      </c>
      <c r="B814" s="4" t="s">
        <v>170</v>
      </c>
      <c r="C814" s="4" t="s">
        <v>171</v>
      </c>
      <c r="D814" s="4" t="s">
        <v>194</v>
      </c>
      <c r="E814" s="4" t="s">
        <v>1148</v>
      </c>
      <c r="F814" s="14">
        <v>0.5</v>
      </c>
      <c r="G814" s="40">
        <v>46143.0</v>
      </c>
    </row>
    <row r="815" ht="15.75" customHeight="1">
      <c r="A815" s="4" t="s">
        <v>93</v>
      </c>
      <c r="B815" s="4" t="s">
        <v>170</v>
      </c>
      <c r="C815" s="4" t="s">
        <v>171</v>
      </c>
      <c r="D815" s="4" t="s">
        <v>194</v>
      </c>
      <c r="E815" s="4" t="s">
        <v>1149</v>
      </c>
      <c r="F815" s="14">
        <v>0.5</v>
      </c>
      <c r="G815" s="40">
        <v>46143.0</v>
      </c>
    </row>
    <row r="816" ht="15.75" customHeight="1">
      <c r="A816" s="4" t="s">
        <v>93</v>
      </c>
      <c r="B816" s="4" t="s">
        <v>170</v>
      </c>
      <c r="C816" s="4" t="s">
        <v>171</v>
      </c>
      <c r="D816" s="4" t="s">
        <v>194</v>
      </c>
      <c r="E816" s="4" t="s">
        <v>1150</v>
      </c>
      <c r="F816" s="14">
        <v>0.5</v>
      </c>
      <c r="G816" s="40">
        <v>46143.0</v>
      </c>
    </row>
    <row r="817" ht="15.75" customHeight="1">
      <c r="A817" s="4" t="s">
        <v>93</v>
      </c>
      <c r="B817" s="4" t="s">
        <v>170</v>
      </c>
      <c r="C817" s="4" t="s">
        <v>171</v>
      </c>
      <c r="D817" s="4" t="s">
        <v>194</v>
      </c>
      <c r="E817" s="4" t="s">
        <v>1151</v>
      </c>
      <c r="F817" s="14">
        <v>0.5</v>
      </c>
      <c r="G817" s="40">
        <v>46143.0</v>
      </c>
    </row>
    <row r="818" ht="15.75" customHeight="1">
      <c r="A818" s="4" t="s">
        <v>93</v>
      </c>
      <c r="B818" s="4" t="s">
        <v>170</v>
      </c>
      <c r="C818" s="4" t="s">
        <v>171</v>
      </c>
      <c r="D818" s="4" t="s">
        <v>194</v>
      </c>
      <c r="E818" s="4" t="s">
        <v>1152</v>
      </c>
      <c r="F818" s="14">
        <v>0.5</v>
      </c>
      <c r="G818" s="40">
        <v>46143.0</v>
      </c>
    </row>
    <row r="819" ht="15.75" customHeight="1">
      <c r="A819" s="4" t="s">
        <v>93</v>
      </c>
      <c r="B819" s="4" t="s">
        <v>170</v>
      </c>
      <c r="C819" s="4" t="s">
        <v>171</v>
      </c>
      <c r="D819" s="4" t="s">
        <v>194</v>
      </c>
      <c r="E819" s="4" t="s">
        <v>1153</v>
      </c>
      <c r="F819" s="14">
        <v>0.5</v>
      </c>
      <c r="G819" s="40">
        <v>46143.0</v>
      </c>
    </row>
    <row r="820" ht="15.75" customHeight="1">
      <c r="A820" s="4" t="s">
        <v>93</v>
      </c>
      <c r="B820" s="4" t="s">
        <v>170</v>
      </c>
      <c r="C820" s="4" t="s">
        <v>171</v>
      </c>
      <c r="D820" s="4" t="s">
        <v>194</v>
      </c>
      <c r="E820" s="4" t="s">
        <v>1154</v>
      </c>
      <c r="F820" s="14">
        <v>0.5</v>
      </c>
      <c r="G820" s="40">
        <v>46143.0</v>
      </c>
    </row>
    <row r="821" ht="15.75" customHeight="1">
      <c r="A821" s="4" t="s">
        <v>93</v>
      </c>
      <c r="B821" s="4" t="s">
        <v>170</v>
      </c>
      <c r="C821" s="4" t="s">
        <v>171</v>
      </c>
      <c r="D821" s="4" t="s">
        <v>194</v>
      </c>
      <c r="E821" s="4" t="s">
        <v>1155</v>
      </c>
      <c r="F821" s="14">
        <v>0.5</v>
      </c>
      <c r="G821" s="40">
        <v>46143.0</v>
      </c>
    </row>
    <row r="822" ht="15.75" customHeight="1">
      <c r="A822" s="4" t="s">
        <v>93</v>
      </c>
      <c r="B822" s="4" t="s">
        <v>170</v>
      </c>
      <c r="C822" s="4" t="s">
        <v>171</v>
      </c>
      <c r="D822" s="4" t="s">
        <v>194</v>
      </c>
      <c r="E822" s="4" t="s">
        <v>1156</v>
      </c>
      <c r="F822" s="14">
        <v>0.5</v>
      </c>
      <c r="G822" s="40">
        <v>46143.0</v>
      </c>
    </row>
    <row r="823" ht="15.75" customHeight="1">
      <c r="A823" s="4" t="s">
        <v>93</v>
      </c>
      <c r="B823" s="4" t="s">
        <v>170</v>
      </c>
      <c r="C823" s="4" t="s">
        <v>171</v>
      </c>
      <c r="D823" s="4" t="s">
        <v>420</v>
      </c>
      <c r="E823" s="4" t="s">
        <v>1157</v>
      </c>
      <c r="F823" s="14">
        <v>0.25</v>
      </c>
      <c r="G823" s="40">
        <v>46143.0</v>
      </c>
    </row>
    <row r="824" ht="15.75" customHeight="1">
      <c r="A824" s="4" t="s">
        <v>93</v>
      </c>
      <c r="B824" s="4" t="s">
        <v>170</v>
      </c>
      <c r="C824" s="4" t="s">
        <v>171</v>
      </c>
      <c r="D824" s="4" t="s">
        <v>420</v>
      </c>
      <c r="E824" s="4" t="s">
        <v>1158</v>
      </c>
      <c r="F824" s="14">
        <v>0.25</v>
      </c>
      <c r="G824" s="40">
        <v>46174.0</v>
      </c>
    </row>
    <row r="825" ht="15.75" customHeight="1">
      <c r="A825" s="4" t="s">
        <v>93</v>
      </c>
      <c r="B825" s="4" t="s">
        <v>170</v>
      </c>
      <c r="C825" s="4" t="s">
        <v>171</v>
      </c>
      <c r="D825" s="4" t="s">
        <v>194</v>
      </c>
      <c r="E825" s="4" t="s">
        <v>1159</v>
      </c>
      <c r="F825" s="14">
        <v>0.5</v>
      </c>
      <c r="G825" s="40">
        <v>46174.0</v>
      </c>
    </row>
    <row r="826" ht="15.75" customHeight="1">
      <c r="A826" s="4" t="s">
        <v>93</v>
      </c>
      <c r="B826" s="4" t="s">
        <v>170</v>
      </c>
      <c r="C826" s="4" t="s">
        <v>171</v>
      </c>
      <c r="D826" s="4" t="s">
        <v>420</v>
      </c>
      <c r="E826" s="4" t="s">
        <v>1160</v>
      </c>
      <c r="F826" s="14">
        <v>0.25</v>
      </c>
      <c r="G826" s="40">
        <v>46174.0</v>
      </c>
    </row>
    <row r="827" ht="15.75" customHeight="1">
      <c r="A827" s="4" t="s">
        <v>93</v>
      </c>
      <c r="B827" s="4" t="s">
        <v>170</v>
      </c>
      <c r="C827" s="4" t="s">
        <v>171</v>
      </c>
      <c r="D827" s="4" t="s">
        <v>194</v>
      </c>
      <c r="E827" s="4" t="s">
        <v>1161</v>
      </c>
      <c r="F827" s="14">
        <v>0.5</v>
      </c>
      <c r="G827" s="40">
        <v>46174.0</v>
      </c>
    </row>
    <row r="828" ht="15.75" customHeight="1">
      <c r="A828" s="4" t="s">
        <v>93</v>
      </c>
      <c r="B828" s="4" t="s">
        <v>170</v>
      </c>
      <c r="C828" s="4" t="s">
        <v>171</v>
      </c>
      <c r="D828" s="4" t="s">
        <v>194</v>
      </c>
      <c r="E828" s="4" t="s">
        <v>848</v>
      </c>
      <c r="F828" s="14">
        <v>0.5</v>
      </c>
      <c r="G828" s="40">
        <v>46174.0</v>
      </c>
    </row>
    <row r="829" ht="15.75" customHeight="1">
      <c r="A829" s="4" t="s">
        <v>93</v>
      </c>
      <c r="B829" s="4" t="s">
        <v>170</v>
      </c>
      <c r="C829" s="4" t="s">
        <v>171</v>
      </c>
      <c r="D829" s="4" t="s">
        <v>420</v>
      </c>
      <c r="E829" s="4" t="s">
        <v>1162</v>
      </c>
      <c r="F829" s="14">
        <v>0.25</v>
      </c>
      <c r="G829" s="40">
        <v>46174.0</v>
      </c>
    </row>
    <row r="830" ht="15.75" customHeight="1">
      <c r="A830" s="4" t="s">
        <v>93</v>
      </c>
      <c r="B830" s="4" t="s">
        <v>170</v>
      </c>
      <c r="C830" s="4" t="s">
        <v>171</v>
      </c>
      <c r="D830" s="4" t="s">
        <v>194</v>
      </c>
      <c r="E830" s="4" t="s">
        <v>1163</v>
      </c>
      <c r="F830" s="14">
        <v>0.5</v>
      </c>
      <c r="G830" s="40">
        <v>46174.0</v>
      </c>
    </row>
    <row r="831" ht="15.75" customHeight="1">
      <c r="A831" s="4" t="s">
        <v>93</v>
      </c>
      <c r="B831" s="4" t="s">
        <v>170</v>
      </c>
      <c r="C831" s="4" t="s">
        <v>171</v>
      </c>
      <c r="D831" s="4" t="s">
        <v>420</v>
      </c>
      <c r="E831" s="4" t="s">
        <v>854</v>
      </c>
      <c r="F831" s="14">
        <v>0.25</v>
      </c>
      <c r="G831" s="40">
        <v>46174.0</v>
      </c>
    </row>
    <row r="832" ht="15.75" customHeight="1">
      <c r="A832" s="4" t="s">
        <v>93</v>
      </c>
      <c r="B832" s="4" t="s">
        <v>170</v>
      </c>
      <c r="C832" s="4" t="s">
        <v>171</v>
      </c>
      <c r="D832" s="4" t="s">
        <v>194</v>
      </c>
      <c r="E832" s="4" t="s">
        <v>1164</v>
      </c>
      <c r="F832" s="14">
        <v>0.5</v>
      </c>
      <c r="G832" s="40">
        <v>46174.0</v>
      </c>
    </row>
    <row r="833" ht="15.75" customHeight="1">
      <c r="A833" s="4" t="s">
        <v>93</v>
      </c>
      <c r="B833" s="4" t="s">
        <v>170</v>
      </c>
      <c r="C833" s="4" t="s">
        <v>171</v>
      </c>
      <c r="D833" s="4" t="s">
        <v>194</v>
      </c>
      <c r="E833" s="4" t="s">
        <v>1165</v>
      </c>
      <c r="F833" s="14">
        <v>0.5</v>
      </c>
      <c r="G833" s="40">
        <v>46174.0</v>
      </c>
    </row>
    <row r="834" ht="15.75" customHeight="1">
      <c r="A834" s="4" t="s">
        <v>93</v>
      </c>
      <c r="B834" s="4" t="s">
        <v>170</v>
      </c>
      <c r="C834" s="4" t="s">
        <v>171</v>
      </c>
      <c r="D834" s="4" t="s">
        <v>194</v>
      </c>
      <c r="E834" s="4" t="s">
        <v>1166</v>
      </c>
      <c r="F834" s="14">
        <v>0.5</v>
      </c>
      <c r="G834" s="40">
        <v>46174.0</v>
      </c>
    </row>
    <row r="835" ht="15.75" customHeight="1">
      <c r="A835" s="4" t="s">
        <v>93</v>
      </c>
      <c r="B835" s="4" t="s">
        <v>170</v>
      </c>
      <c r="C835" s="4" t="s">
        <v>171</v>
      </c>
      <c r="D835" s="4" t="s">
        <v>194</v>
      </c>
      <c r="E835" s="4" t="s">
        <v>1167</v>
      </c>
      <c r="F835" s="14">
        <v>0.5</v>
      </c>
      <c r="G835" s="40">
        <v>46174.0</v>
      </c>
    </row>
    <row r="836" ht="15.75" customHeight="1">
      <c r="A836" s="4" t="s">
        <v>93</v>
      </c>
      <c r="B836" s="4" t="s">
        <v>170</v>
      </c>
      <c r="C836" s="4" t="s">
        <v>171</v>
      </c>
      <c r="D836" s="4" t="s">
        <v>194</v>
      </c>
      <c r="E836" s="4" t="s">
        <v>1168</v>
      </c>
      <c r="F836" s="14">
        <v>0.5</v>
      </c>
      <c r="G836" s="40">
        <v>46174.0</v>
      </c>
    </row>
    <row r="837" ht="15.75" customHeight="1">
      <c r="A837" s="4" t="s">
        <v>93</v>
      </c>
      <c r="B837" s="4" t="s">
        <v>170</v>
      </c>
      <c r="C837" s="4" t="s">
        <v>171</v>
      </c>
      <c r="D837" s="4" t="s">
        <v>194</v>
      </c>
      <c r="E837" s="4" t="s">
        <v>1169</v>
      </c>
      <c r="F837" s="14">
        <v>0.5</v>
      </c>
      <c r="G837" s="40">
        <v>46204.0</v>
      </c>
    </row>
    <row r="838" ht="15.75" customHeight="1">
      <c r="A838" s="4" t="s">
        <v>93</v>
      </c>
      <c r="B838" s="4" t="s">
        <v>170</v>
      </c>
      <c r="C838" s="4" t="s">
        <v>171</v>
      </c>
      <c r="D838" s="4" t="s">
        <v>194</v>
      </c>
      <c r="E838" s="4" t="s">
        <v>1170</v>
      </c>
      <c r="F838" s="14">
        <v>0.5</v>
      </c>
      <c r="G838" s="40">
        <v>46204.0</v>
      </c>
    </row>
    <row r="839" ht="15.75" customHeight="1">
      <c r="A839" s="4" t="s">
        <v>93</v>
      </c>
      <c r="B839" s="4" t="s">
        <v>170</v>
      </c>
      <c r="C839" s="4" t="s">
        <v>171</v>
      </c>
      <c r="D839" s="4" t="s">
        <v>194</v>
      </c>
      <c r="E839" s="4" t="s">
        <v>1171</v>
      </c>
      <c r="F839" s="14">
        <v>0.5</v>
      </c>
      <c r="G839" s="40">
        <v>46204.0</v>
      </c>
    </row>
    <row r="840" ht="15.75" customHeight="1">
      <c r="A840" s="4" t="s">
        <v>93</v>
      </c>
      <c r="B840" s="4" t="s">
        <v>170</v>
      </c>
      <c r="C840" s="4" t="s">
        <v>171</v>
      </c>
      <c r="D840" s="4" t="s">
        <v>194</v>
      </c>
      <c r="E840" s="4" t="s">
        <v>1172</v>
      </c>
      <c r="F840" s="14">
        <v>0.5</v>
      </c>
      <c r="G840" s="40">
        <v>46204.0</v>
      </c>
    </row>
    <row r="841" ht="15.75" customHeight="1">
      <c r="A841" s="4" t="s">
        <v>93</v>
      </c>
      <c r="B841" s="4" t="s">
        <v>170</v>
      </c>
      <c r="C841" s="4" t="s">
        <v>171</v>
      </c>
      <c r="D841" s="4" t="s">
        <v>194</v>
      </c>
      <c r="E841" s="4" t="s">
        <v>1173</v>
      </c>
      <c r="F841" s="14">
        <v>0.5</v>
      </c>
      <c r="G841" s="40">
        <v>46204.0</v>
      </c>
    </row>
    <row r="842" ht="15.75" customHeight="1">
      <c r="A842" s="4" t="s">
        <v>93</v>
      </c>
      <c r="B842" s="4" t="s">
        <v>170</v>
      </c>
      <c r="C842" s="4" t="s">
        <v>171</v>
      </c>
      <c r="D842" s="4" t="s">
        <v>194</v>
      </c>
      <c r="E842" s="4" t="s">
        <v>1174</v>
      </c>
      <c r="F842" s="14">
        <v>0.5</v>
      </c>
      <c r="G842" s="40">
        <v>46204.0</v>
      </c>
    </row>
    <row r="843" ht="15.75" customHeight="1">
      <c r="A843" s="4" t="s">
        <v>93</v>
      </c>
      <c r="B843" s="4" t="s">
        <v>170</v>
      </c>
      <c r="C843" s="4" t="s">
        <v>171</v>
      </c>
      <c r="D843" s="4" t="s">
        <v>194</v>
      </c>
      <c r="E843" s="4" t="s">
        <v>1175</v>
      </c>
      <c r="F843" s="14">
        <v>0.5</v>
      </c>
      <c r="G843" s="40">
        <v>46204.0</v>
      </c>
    </row>
    <row r="844" ht="15.75" customHeight="1">
      <c r="A844" s="4" t="s">
        <v>93</v>
      </c>
      <c r="B844" s="4" t="s">
        <v>170</v>
      </c>
      <c r="C844" s="4" t="s">
        <v>171</v>
      </c>
      <c r="D844" s="4" t="s">
        <v>194</v>
      </c>
      <c r="E844" s="4" t="s">
        <v>1176</v>
      </c>
      <c r="F844" s="14">
        <v>0.5</v>
      </c>
      <c r="G844" s="40">
        <v>46204.0</v>
      </c>
    </row>
    <row r="845" ht="15.75" customHeight="1">
      <c r="A845" s="4" t="s">
        <v>93</v>
      </c>
      <c r="B845" s="4" t="s">
        <v>170</v>
      </c>
      <c r="C845" s="4" t="s">
        <v>171</v>
      </c>
      <c r="D845" s="4" t="s">
        <v>194</v>
      </c>
      <c r="E845" s="4" t="s">
        <v>1177</v>
      </c>
      <c r="F845" s="14">
        <v>0.5</v>
      </c>
      <c r="G845" s="40">
        <v>46235.0</v>
      </c>
    </row>
    <row r="846" ht="15.75" customHeight="1">
      <c r="A846" s="4" t="s">
        <v>93</v>
      </c>
      <c r="B846" s="4" t="s">
        <v>170</v>
      </c>
      <c r="C846" s="4" t="s">
        <v>171</v>
      </c>
      <c r="D846" s="4" t="s">
        <v>194</v>
      </c>
      <c r="E846" s="4" t="s">
        <v>1178</v>
      </c>
      <c r="F846" s="14">
        <v>0.5</v>
      </c>
      <c r="G846" s="40">
        <v>46235.0</v>
      </c>
    </row>
    <row r="847" ht="15.75" customHeight="1">
      <c r="A847" s="4" t="s">
        <v>93</v>
      </c>
      <c r="B847" s="4" t="s">
        <v>483</v>
      </c>
      <c r="C847" s="4" t="s">
        <v>1179</v>
      </c>
      <c r="D847" s="4" t="s">
        <v>194</v>
      </c>
      <c r="E847" s="4" t="s">
        <v>1180</v>
      </c>
      <c r="F847" s="14">
        <v>0.5</v>
      </c>
      <c r="G847" s="40">
        <v>46023.0</v>
      </c>
    </row>
    <row r="848" ht="15.75" customHeight="1">
      <c r="A848" s="4" t="s">
        <v>314</v>
      </c>
      <c r="B848" s="4" t="s">
        <v>1181</v>
      </c>
      <c r="C848" s="4" t="s">
        <v>1182</v>
      </c>
      <c r="D848" s="4" t="s">
        <v>273</v>
      </c>
      <c r="E848" s="4" t="s">
        <v>1183</v>
      </c>
      <c r="F848" s="14">
        <v>1.0</v>
      </c>
      <c r="G848" s="40">
        <v>46143.0</v>
      </c>
    </row>
    <row r="849" ht="15.75" customHeight="1">
      <c r="A849" s="4" t="s">
        <v>314</v>
      </c>
      <c r="B849" s="4" t="s">
        <v>1181</v>
      </c>
      <c r="C849" s="4" t="s">
        <v>1182</v>
      </c>
      <c r="D849" s="4" t="s">
        <v>194</v>
      </c>
      <c r="E849" s="4" t="s">
        <v>1184</v>
      </c>
      <c r="F849" s="14">
        <v>0.5</v>
      </c>
      <c r="G849" s="40">
        <v>46143.0</v>
      </c>
    </row>
    <row r="850" ht="15.75" customHeight="1">
      <c r="A850" s="4" t="s">
        <v>314</v>
      </c>
      <c r="B850" s="4" t="s">
        <v>1181</v>
      </c>
      <c r="C850" s="4" t="s">
        <v>1182</v>
      </c>
      <c r="D850" s="4" t="s">
        <v>273</v>
      </c>
      <c r="E850" s="4" t="s">
        <v>1185</v>
      </c>
      <c r="F850" s="14">
        <v>1.0</v>
      </c>
      <c r="G850" s="40">
        <v>46143.0</v>
      </c>
    </row>
    <row r="851" ht="15.75" customHeight="1">
      <c r="A851" s="4" t="s">
        <v>314</v>
      </c>
      <c r="B851" s="4" t="s">
        <v>1186</v>
      </c>
      <c r="C851" s="4" t="s">
        <v>1187</v>
      </c>
      <c r="D851" s="4" t="s">
        <v>273</v>
      </c>
      <c r="E851" s="4" t="s">
        <v>1188</v>
      </c>
      <c r="F851" s="14">
        <v>1.0</v>
      </c>
      <c r="G851" s="40">
        <v>46113.0</v>
      </c>
    </row>
    <row r="852" ht="15.75" customHeight="1">
      <c r="A852" s="4" t="s">
        <v>314</v>
      </c>
      <c r="B852" s="4" t="s">
        <v>1186</v>
      </c>
      <c r="C852" s="4" t="s">
        <v>1187</v>
      </c>
      <c r="D852" s="4" t="s">
        <v>273</v>
      </c>
      <c r="E852" s="4" t="s">
        <v>1189</v>
      </c>
      <c r="F852" s="14">
        <v>1.0</v>
      </c>
      <c r="G852" s="40">
        <v>46113.0</v>
      </c>
    </row>
    <row r="853" ht="15.75" customHeight="1">
      <c r="A853" s="4" t="s">
        <v>314</v>
      </c>
      <c r="B853" s="4" t="s">
        <v>1186</v>
      </c>
      <c r="C853" s="4" t="s">
        <v>1187</v>
      </c>
      <c r="D853" s="4" t="s">
        <v>283</v>
      </c>
      <c r="E853" s="4" t="s">
        <v>1190</v>
      </c>
      <c r="F853" s="14">
        <v>1.5</v>
      </c>
      <c r="G853" s="40">
        <v>46113.0</v>
      </c>
    </row>
    <row r="854" ht="15.75" customHeight="1">
      <c r="A854" s="4" t="s">
        <v>314</v>
      </c>
      <c r="B854" s="4" t="s">
        <v>1186</v>
      </c>
      <c r="C854" s="4" t="s">
        <v>1187</v>
      </c>
      <c r="D854" s="4" t="s">
        <v>273</v>
      </c>
      <c r="E854" s="4" t="s">
        <v>1191</v>
      </c>
      <c r="F854" s="14">
        <v>1.0</v>
      </c>
      <c r="G854" s="40">
        <v>46113.0</v>
      </c>
    </row>
    <row r="855" ht="15.75" customHeight="1">
      <c r="A855" s="4" t="s">
        <v>314</v>
      </c>
      <c r="B855" s="4" t="s">
        <v>1186</v>
      </c>
      <c r="C855" s="4" t="s">
        <v>1187</v>
      </c>
      <c r="D855" s="4" t="s">
        <v>194</v>
      </c>
      <c r="E855" s="4" t="s">
        <v>1192</v>
      </c>
      <c r="F855" s="14">
        <v>0.5</v>
      </c>
      <c r="G855" s="40">
        <v>46113.0</v>
      </c>
    </row>
    <row r="856" ht="15.75" customHeight="1">
      <c r="A856" s="4" t="s">
        <v>314</v>
      </c>
      <c r="B856" s="4" t="s">
        <v>1186</v>
      </c>
      <c r="C856" s="4" t="s">
        <v>1187</v>
      </c>
      <c r="D856" s="4" t="s">
        <v>283</v>
      </c>
      <c r="E856" s="4" t="s">
        <v>1193</v>
      </c>
      <c r="F856" s="14">
        <v>1.5</v>
      </c>
      <c r="G856" s="40">
        <v>46113.0</v>
      </c>
    </row>
    <row r="857" ht="15.75" customHeight="1">
      <c r="A857" s="4" t="s">
        <v>314</v>
      </c>
      <c r="B857" s="4" t="s">
        <v>1186</v>
      </c>
      <c r="C857" s="4" t="s">
        <v>1187</v>
      </c>
      <c r="D857" s="4" t="s">
        <v>283</v>
      </c>
      <c r="E857" s="4" t="s">
        <v>1194</v>
      </c>
      <c r="F857" s="14">
        <v>1.5</v>
      </c>
      <c r="G857" s="40">
        <v>46113.0</v>
      </c>
    </row>
    <row r="858" ht="15.75" customHeight="1">
      <c r="A858" s="4" t="s">
        <v>314</v>
      </c>
      <c r="B858" s="4" t="s">
        <v>1186</v>
      </c>
      <c r="C858" s="4" t="s">
        <v>1187</v>
      </c>
      <c r="D858" s="4" t="s">
        <v>194</v>
      </c>
      <c r="E858" s="4" t="s">
        <v>1195</v>
      </c>
      <c r="F858" s="14">
        <v>0.5</v>
      </c>
      <c r="G858" s="40">
        <v>46143.0</v>
      </c>
    </row>
    <row r="859" ht="15.75" customHeight="1">
      <c r="A859" s="4" t="s">
        <v>314</v>
      </c>
      <c r="B859" s="4" t="s">
        <v>1196</v>
      </c>
      <c r="C859" s="4" t="s">
        <v>1197</v>
      </c>
      <c r="D859" s="4" t="s">
        <v>194</v>
      </c>
      <c r="E859" s="4" t="s">
        <v>1198</v>
      </c>
      <c r="F859" s="14">
        <v>0.5</v>
      </c>
      <c r="G859" s="40">
        <v>46113.0</v>
      </c>
    </row>
    <row r="860" ht="15.75" customHeight="1">
      <c r="A860" s="4" t="s">
        <v>314</v>
      </c>
      <c r="B860" s="4" t="s">
        <v>1196</v>
      </c>
      <c r="C860" s="4" t="s">
        <v>1197</v>
      </c>
      <c r="D860" s="4" t="s">
        <v>363</v>
      </c>
      <c r="E860" s="4" t="s">
        <v>1199</v>
      </c>
      <c r="F860" s="14">
        <v>2.0</v>
      </c>
      <c r="G860" s="40">
        <v>46113.0</v>
      </c>
    </row>
    <row r="861" ht="15.75" customHeight="1">
      <c r="A861" s="4" t="s">
        <v>314</v>
      </c>
      <c r="B861" s="4" t="s">
        <v>1196</v>
      </c>
      <c r="C861" s="4" t="s">
        <v>1197</v>
      </c>
      <c r="D861" s="4" t="s">
        <v>273</v>
      </c>
      <c r="E861" s="4" t="s">
        <v>1200</v>
      </c>
      <c r="F861" s="14">
        <v>1.0</v>
      </c>
      <c r="G861" s="40">
        <v>46113.0</v>
      </c>
    </row>
    <row r="862" ht="15.75" customHeight="1">
      <c r="A862" s="4" t="s">
        <v>314</v>
      </c>
      <c r="B862" s="4" t="s">
        <v>1196</v>
      </c>
      <c r="C862" s="4" t="s">
        <v>1197</v>
      </c>
      <c r="D862" s="4" t="s">
        <v>273</v>
      </c>
      <c r="E862" s="4" t="s">
        <v>1201</v>
      </c>
      <c r="F862" s="14">
        <v>1.0</v>
      </c>
      <c r="G862" s="40">
        <v>46113.0</v>
      </c>
    </row>
    <row r="863" ht="15.75" customHeight="1">
      <c r="A863" s="4" t="s">
        <v>314</v>
      </c>
      <c r="B863" s="4" t="s">
        <v>1196</v>
      </c>
      <c r="C863" s="4" t="s">
        <v>1197</v>
      </c>
      <c r="D863" s="4" t="s">
        <v>286</v>
      </c>
      <c r="E863" s="4" t="s">
        <v>1202</v>
      </c>
      <c r="F863" s="14">
        <v>0.75</v>
      </c>
      <c r="G863" s="40">
        <v>46113.0</v>
      </c>
    </row>
    <row r="864" ht="15.75" customHeight="1">
      <c r="A864" s="4" t="s">
        <v>314</v>
      </c>
      <c r="B864" s="4" t="s">
        <v>1196</v>
      </c>
      <c r="C864" s="4" t="s">
        <v>1197</v>
      </c>
      <c r="D864" s="4" t="s">
        <v>194</v>
      </c>
      <c r="E864" s="4" t="s">
        <v>1203</v>
      </c>
      <c r="F864" s="14">
        <v>0.5</v>
      </c>
      <c r="G864" s="40">
        <v>46113.0</v>
      </c>
    </row>
    <row r="865" ht="15.75" customHeight="1">
      <c r="A865" s="4" t="s">
        <v>314</v>
      </c>
      <c r="B865" s="4" t="s">
        <v>1204</v>
      </c>
      <c r="C865" s="4" t="s">
        <v>1205</v>
      </c>
      <c r="D865" s="4" t="s">
        <v>363</v>
      </c>
      <c r="E865" s="4" t="s">
        <v>1206</v>
      </c>
      <c r="F865" s="14">
        <v>2.0</v>
      </c>
      <c r="G865" s="40">
        <v>46113.0</v>
      </c>
    </row>
    <row r="866" ht="15.75" customHeight="1">
      <c r="A866" s="4" t="s">
        <v>314</v>
      </c>
      <c r="B866" s="4" t="s">
        <v>1204</v>
      </c>
      <c r="C866" s="4" t="s">
        <v>1205</v>
      </c>
      <c r="D866" s="4" t="s">
        <v>363</v>
      </c>
      <c r="E866" s="4" t="s">
        <v>1207</v>
      </c>
      <c r="F866" s="14">
        <v>2.0</v>
      </c>
      <c r="G866" s="40">
        <v>46113.0</v>
      </c>
    </row>
    <row r="867" ht="15.75" customHeight="1">
      <c r="A867" s="4" t="s">
        <v>314</v>
      </c>
      <c r="B867" s="4" t="s">
        <v>1204</v>
      </c>
      <c r="C867" s="4" t="s">
        <v>1205</v>
      </c>
      <c r="D867" s="4" t="s">
        <v>283</v>
      </c>
      <c r="E867" s="4" t="s">
        <v>1208</v>
      </c>
      <c r="F867" s="14">
        <v>1.5</v>
      </c>
      <c r="G867" s="40">
        <v>46113.0</v>
      </c>
    </row>
    <row r="868" ht="15.75" customHeight="1">
      <c r="A868" s="4" t="s">
        <v>314</v>
      </c>
      <c r="B868" s="4" t="s">
        <v>1204</v>
      </c>
      <c r="C868" s="4" t="s">
        <v>1205</v>
      </c>
      <c r="D868" s="4" t="s">
        <v>422</v>
      </c>
      <c r="E868" s="4" t="s">
        <v>1209</v>
      </c>
      <c r="F868" s="14">
        <v>2.5</v>
      </c>
      <c r="G868" s="40">
        <v>46113.0</v>
      </c>
    </row>
    <row r="869" ht="15.75" customHeight="1">
      <c r="A869" s="4" t="s">
        <v>314</v>
      </c>
      <c r="B869" s="4" t="s">
        <v>1204</v>
      </c>
      <c r="C869" s="4" t="s">
        <v>1205</v>
      </c>
      <c r="D869" s="4" t="s">
        <v>283</v>
      </c>
      <c r="E869" s="4" t="s">
        <v>1210</v>
      </c>
      <c r="F869" s="14">
        <v>1.5</v>
      </c>
      <c r="G869" s="40">
        <v>46113.0</v>
      </c>
    </row>
    <row r="870" ht="15.75" customHeight="1">
      <c r="A870" s="4" t="s">
        <v>314</v>
      </c>
      <c r="B870" s="4" t="s">
        <v>1204</v>
      </c>
      <c r="C870" s="4" t="s">
        <v>1205</v>
      </c>
      <c r="D870" s="4" t="s">
        <v>441</v>
      </c>
      <c r="E870" s="4" t="s">
        <v>1211</v>
      </c>
      <c r="F870" s="14">
        <v>1.25</v>
      </c>
      <c r="G870" s="40">
        <v>46113.0</v>
      </c>
    </row>
    <row r="871" ht="15.75" customHeight="1">
      <c r="A871" s="4" t="s">
        <v>314</v>
      </c>
      <c r="B871" s="4" t="s">
        <v>1204</v>
      </c>
      <c r="C871" s="4" t="s">
        <v>1205</v>
      </c>
      <c r="D871" s="4" t="s">
        <v>441</v>
      </c>
      <c r="E871" s="4" t="s">
        <v>1212</v>
      </c>
      <c r="F871" s="14">
        <v>1.25</v>
      </c>
      <c r="G871" s="40">
        <v>46113.0</v>
      </c>
    </row>
    <row r="872" ht="15.75" customHeight="1">
      <c r="A872" s="4" t="s">
        <v>314</v>
      </c>
      <c r="B872" s="4" t="s">
        <v>1204</v>
      </c>
      <c r="C872" s="4" t="s">
        <v>1205</v>
      </c>
      <c r="D872" s="4" t="s">
        <v>194</v>
      </c>
      <c r="E872" s="4" t="s">
        <v>1213</v>
      </c>
      <c r="F872" s="14">
        <v>0.5</v>
      </c>
      <c r="G872" s="40">
        <v>46113.0</v>
      </c>
    </row>
    <row r="873" ht="15.75" customHeight="1">
      <c r="A873" s="4" t="s">
        <v>314</v>
      </c>
      <c r="B873" s="4" t="s">
        <v>1204</v>
      </c>
      <c r="C873" s="4" t="s">
        <v>1205</v>
      </c>
      <c r="D873" s="4" t="s">
        <v>273</v>
      </c>
      <c r="E873" s="4" t="s">
        <v>1214</v>
      </c>
      <c r="F873" s="14">
        <v>1.0</v>
      </c>
      <c r="G873" s="40">
        <v>46113.0</v>
      </c>
    </row>
    <row r="874" ht="15.75" customHeight="1">
      <c r="A874" s="4" t="s">
        <v>314</v>
      </c>
      <c r="B874" s="4" t="s">
        <v>1204</v>
      </c>
      <c r="C874" s="4" t="s">
        <v>1205</v>
      </c>
      <c r="D874" s="4" t="s">
        <v>441</v>
      </c>
      <c r="E874" s="4" t="s">
        <v>1215</v>
      </c>
      <c r="F874" s="14">
        <v>1.25</v>
      </c>
      <c r="G874" s="40">
        <v>46113.0</v>
      </c>
    </row>
    <row r="875" ht="15.75" customHeight="1">
      <c r="A875" s="4" t="s">
        <v>314</v>
      </c>
      <c r="B875" s="4" t="s">
        <v>1204</v>
      </c>
      <c r="C875" s="4" t="s">
        <v>1205</v>
      </c>
      <c r="D875" s="4" t="s">
        <v>194</v>
      </c>
      <c r="E875" s="4" t="s">
        <v>1216</v>
      </c>
      <c r="F875" s="14">
        <v>0.5</v>
      </c>
      <c r="G875" s="40">
        <v>46113.0</v>
      </c>
    </row>
    <row r="876" ht="15.75" customHeight="1">
      <c r="A876" s="4" t="s">
        <v>314</v>
      </c>
      <c r="B876" s="4" t="s">
        <v>1204</v>
      </c>
      <c r="C876" s="4" t="s">
        <v>1205</v>
      </c>
      <c r="D876" s="4" t="s">
        <v>273</v>
      </c>
      <c r="E876" s="4" t="s">
        <v>1217</v>
      </c>
      <c r="F876" s="14">
        <v>1.0</v>
      </c>
      <c r="G876" s="40">
        <v>46113.0</v>
      </c>
    </row>
    <row r="877" ht="15.75" customHeight="1">
      <c r="A877" s="4" t="s">
        <v>314</v>
      </c>
      <c r="B877" s="4" t="s">
        <v>1204</v>
      </c>
      <c r="C877" s="4" t="s">
        <v>1205</v>
      </c>
      <c r="D877" s="4" t="s">
        <v>283</v>
      </c>
      <c r="E877" s="4" t="s">
        <v>1218</v>
      </c>
      <c r="F877" s="14">
        <v>1.5</v>
      </c>
      <c r="G877" s="40">
        <v>46113.0</v>
      </c>
    </row>
    <row r="878" ht="15.75" customHeight="1">
      <c r="A878" s="4" t="s">
        <v>314</v>
      </c>
      <c r="B878" s="4" t="s">
        <v>1204</v>
      </c>
      <c r="C878" s="4" t="s">
        <v>1205</v>
      </c>
      <c r="D878" s="4" t="s">
        <v>194</v>
      </c>
      <c r="E878" s="4" t="s">
        <v>1219</v>
      </c>
      <c r="F878" s="14">
        <v>0.5</v>
      </c>
      <c r="G878" s="40">
        <v>46113.0</v>
      </c>
    </row>
    <row r="879" ht="15.75" customHeight="1">
      <c r="A879" s="4" t="s">
        <v>314</v>
      </c>
      <c r="B879" s="4" t="s">
        <v>1204</v>
      </c>
      <c r="C879" s="4" t="s">
        <v>1205</v>
      </c>
      <c r="D879" s="4" t="s">
        <v>273</v>
      </c>
      <c r="E879" s="4" t="s">
        <v>1220</v>
      </c>
      <c r="F879" s="14">
        <v>1.0</v>
      </c>
      <c r="G879" s="40">
        <v>46113.0</v>
      </c>
    </row>
    <row r="880" ht="15.75" customHeight="1">
      <c r="A880" s="4" t="s">
        <v>314</v>
      </c>
      <c r="B880" s="4" t="s">
        <v>1204</v>
      </c>
      <c r="C880" s="4" t="s">
        <v>1205</v>
      </c>
      <c r="D880" s="4" t="s">
        <v>273</v>
      </c>
      <c r="E880" s="4" t="s">
        <v>1221</v>
      </c>
      <c r="F880" s="14">
        <v>1.0</v>
      </c>
      <c r="G880" s="40">
        <v>46113.0</v>
      </c>
    </row>
    <row r="881" ht="15.75" customHeight="1">
      <c r="A881" s="4" t="s">
        <v>314</v>
      </c>
      <c r="B881" s="4" t="s">
        <v>1204</v>
      </c>
      <c r="C881" s="4" t="s">
        <v>1205</v>
      </c>
      <c r="D881" s="4" t="s">
        <v>363</v>
      </c>
      <c r="E881" s="4" t="s">
        <v>1222</v>
      </c>
      <c r="F881" s="14">
        <v>2.0</v>
      </c>
      <c r="G881" s="40">
        <v>46113.0</v>
      </c>
    </row>
    <row r="882" ht="15.75" customHeight="1">
      <c r="A882" s="4" t="s">
        <v>314</v>
      </c>
      <c r="B882" s="4" t="s">
        <v>1204</v>
      </c>
      <c r="C882" s="4" t="s">
        <v>1205</v>
      </c>
      <c r="D882" s="4" t="s">
        <v>561</v>
      </c>
      <c r="E882" s="4" t="s">
        <v>1223</v>
      </c>
      <c r="F882" s="14">
        <v>1.75</v>
      </c>
      <c r="G882" s="40">
        <v>46113.0</v>
      </c>
    </row>
    <row r="883" ht="15.75" customHeight="1">
      <c r="A883" s="4" t="s">
        <v>314</v>
      </c>
      <c r="B883" s="4" t="s">
        <v>1204</v>
      </c>
      <c r="C883" s="4" t="s">
        <v>1205</v>
      </c>
      <c r="D883" s="4" t="s">
        <v>422</v>
      </c>
      <c r="E883" s="4" t="s">
        <v>1224</v>
      </c>
      <c r="F883" s="14">
        <v>2.5</v>
      </c>
      <c r="G883" s="40">
        <v>46113.0</v>
      </c>
    </row>
    <row r="884" ht="15.75" customHeight="1">
      <c r="A884" s="4" t="s">
        <v>314</v>
      </c>
      <c r="B884" s="4" t="s">
        <v>1204</v>
      </c>
      <c r="C884" s="4" t="s">
        <v>1205</v>
      </c>
      <c r="D884" s="4" t="s">
        <v>422</v>
      </c>
      <c r="E884" s="4" t="s">
        <v>1225</v>
      </c>
      <c r="F884" s="14">
        <v>2.5</v>
      </c>
      <c r="G884" s="40">
        <v>46113.0</v>
      </c>
    </row>
    <row r="885" ht="15.75" customHeight="1">
      <c r="A885" s="4" t="s">
        <v>314</v>
      </c>
      <c r="B885" s="4" t="s">
        <v>1204</v>
      </c>
      <c r="C885" s="4" t="s">
        <v>1205</v>
      </c>
      <c r="D885" s="4" t="s">
        <v>826</v>
      </c>
      <c r="E885" s="4" t="s">
        <v>1226</v>
      </c>
      <c r="F885" s="14">
        <v>3.0</v>
      </c>
      <c r="G885" s="40">
        <v>46113.0</v>
      </c>
    </row>
    <row r="886" ht="15.75" customHeight="1">
      <c r="A886" s="4" t="s">
        <v>314</v>
      </c>
      <c r="B886" s="4" t="s">
        <v>1204</v>
      </c>
      <c r="C886" s="4" t="s">
        <v>1205</v>
      </c>
      <c r="D886" s="4" t="s">
        <v>422</v>
      </c>
      <c r="E886" s="4" t="s">
        <v>1227</v>
      </c>
      <c r="F886" s="14">
        <v>2.5</v>
      </c>
      <c r="G886" s="40">
        <v>46113.0</v>
      </c>
    </row>
    <row r="887" ht="15.75" customHeight="1">
      <c r="A887" s="4" t="s">
        <v>314</v>
      </c>
      <c r="B887" s="4" t="s">
        <v>1204</v>
      </c>
      <c r="C887" s="4" t="s">
        <v>1205</v>
      </c>
      <c r="D887" s="4" t="s">
        <v>194</v>
      </c>
      <c r="E887" s="4" t="s">
        <v>1228</v>
      </c>
      <c r="F887" s="14">
        <v>0.5</v>
      </c>
      <c r="G887" s="40">
        <v>46113.0</v>
      </c>
    </row>
    <row r="888" ht="15.75" customHeight="1">
      <c r="A888" s="4" t="s">
        <v>314</v>
      </c>
      <c r="B888" s="4" t="s">
        <v>1204</v>
      </c>
      <c r="C888" s="4" t="s">
        <v>1205</v>
      </c>
      <c r="D888" s="4" t="s">
        <v>826</v>
      </c>
      <c r="E888" s="4" t="s">
        <v>1229</v>
      </c>
      <c r="F888" s="14">
        <v>3.0</v>
      </c>
      <c r="G888" s="40">
        <v>46113.0</v>
      </c>
    </row>
    <row r="889" ht="15.75" customHeight="1">
      <c r="A889" s="4" t="s">
        <v>314</v>
      </c>
      <c r="B889" s="4" t="s">
        <v>1204</v>
      </c>
      <c r="C889" s="4" t="s">
        <v>1205</v>
      </c>
      <c r="D889" s="4" t="s">
        <v>283</v>
      </c>
      <c r="E889" s="4" t="s">
        <v>1230</v>
      </c>
      <c r="F889" s="14">
        <v>1.5</v>
      </c>
      <c r="G889" s="40">
        <v>46143.0</v>
      </c>
    </row>
    <row r="890" ht="15.75" customHeight="1">
      <c r="A890" s="4" t="s">
        <v>314</v>
      </c>
      <c r="B890" s="4" t="s">
        <v>1204</v>
      </c>
      <c r="C890" s="4" t="s">
        <v>1205</v>
      </c>
      <c r="D890" s="4" t="s">
        <v>194</v>
      </c>
      <c r="E890" s="4" t="s">
        <v>1231</v>
      </c>
      <c r="F890" s="14">
        <v>0.5</v>
      </c>
      <c r="G890" s="40">
        <v>46143.0</v>
      </c>
    </row>
    <row r="891" ht="15.75" customHeight="1">
      <c r="A891" s="4" t="s">
        <v>314</v>
      </c>
      <c r="B891" s="4" t="s">
        <v>1232</v>
      </c>
      <c r="C891" s="4" t="s">
        <v>1233</v>
      </c>
      <c r="D891" s="4" t="s">
        <v>273</v>
      </c>
      <c r="E891" s="4" t="s">
        <v>1234</v>
      </c>
      <c r="F891" s="14">
        <v>1.0</v>
      </c>
      <c r="G891" s="40">
        <v>46082.0</v>
      </c>
    </row>
    <row r="892" ht="15.75" customHeight="1">
      <c r="A892" s="4" t="s">
        <v>314</v>
      </c>
      <c r="B892" s="4" t="s">
        <v>1232</v>
      </c>
      <c r="C892" s="4" t="s">
        <v>1233</v>
      </c>
      <c r="D892" s="4" t="s">
        <v>194</v>
      </c>
      <c r="E892" s="4" t="s">
        <v>1235</v>
      </c>
      <c r="F892" s="14">
        <v>0.5</v>
      </c>
      <c r="G892" s="40">
        <v>46082.0</v>
      </c>
    </row>
    <row r="893" ht="15.75" customHeight="1">
      <c r="A893" s="4" t="s">
        <v>314</v>
      </c>
      <c r="B893" s="4" t="s">
        <v>1232</v>
      </c>
      <c r="C893" s="4" t="s">
        <v>1233</v>
      </c>
      <c r="D893" s="4" t="s">
        <v>283</v>
      </c>
      <c r="E893" s="4" t="s">
        <v>1236</v>
      </c>
      <c r="F893" s="14">
        <v>1.5</v>
      </c>
      <c r="G893" s="40">
        <v>46082.0</v>
      </c>
    </row>
    <row r="894" ht="15.75" customHeight="1">
      <c r="A894" s="4" t="s">
        <v>314</v>
      </c>
      <c r="B894" s="4" t="s">
        <v>1232</v>
      </c>
      <c r="C894" s="4" t="s">
        <v>1233</v>
      </c>
      <c r="D894" s="4" t="s">
        <v>194</v>
      </c>
      <c r="E894" s="4" t="s">
        <v>1237</v>
      </c>
      <c r="F894" s="14">
        <v>0.5</v>
      </c>
      <c r="G894" s="40">
        <v>46082.0</v>
      </c>
    </row>
    <row r="895" ht="15.75" customHeight="1">
      <c r="A895" s="4" t="s">
        <v>314</v>
      </c>
      <c r="B895" s="4" t="s">
        <v>1232</v>
      </c>
      <c r="C895" s="4" t="s">
        <v>1233</v>
      </c>
      <c r="D895" s="4" t="s">
        <v>273</v>
      </c>
      <c r="E895" s="4" t="s">
        <v>1238</v>
      </c>
      <c r="F895" s="14">
        <v>1.0</v>
      </c>
      <c r="G895" s="40">
        <v>46082.0</v>
      </c>
    </row>
    <row r="896" ht="15.75" customHeight="1">
      <c r="A896" s="4" t="s">
        <v>314</v>
      </c>
      <c r="B896" s="4" t="s">
        <v>1232</v>
      </c>
      <c r="C896" s="4" t="s">
        <v>1233</v>
      </c>
      <c r="D896" s="4" t="s">
        <v>273</v>
      </c>
      <c r="E896" s="4" t="s">
        <v>1239</v>
      </c>
      <c r="F896" s="14">
        <v>1.0</v>
      </c>
      <c r="G896" s="40">
        <v>46082.0</v>
      </c>
    </row>
    <row r="897" ht="15.75" customHeight="1">
      <c r="A897" s="4" t="s">
        <v>314</v>
      </c>
      <c r="B897" s="4" t="s">
        <v>1232</v>
      </c>
      <c r="C897" s="4" t="s">
        <v>1233</v>
      </c>
      <c r="D897" s="4" t="s">
        <v>194</v>
      </c>
      <c r="E897" s="4" t="s">
        <v>1240</v>
      </c>
      <c r="F897" s="14">
        <v>0.5</v>
      </c>
      <c r="G897" s="40">
        <v>46082.0</v>
      </c>
    </row>
    <row r="898" ht="15.75" customHeight="1">
      <c r="A898" s="4" t="s">
        <v>314</v>
      </c>
      <c r="B898" s="4" t="s">
        <v>1232</v>
      </c>
      <c r="C898" s="4" t="s">
        <v>1233</v>
      </c>
      <c r="D898" s="4" t="s">
        <v>194</v>
      </c>
      <c r="E898" s="4" t="s">
        <v>1241</v>
      </c>
      <c r="F898" s="14">
        <v>0.5</v>
      </c>
      <c r="G898" s="40">
        <v>46082.0</v>
      </c>
    </row>
    <row r="899" ht="15.75" customHeight="1">
      <c r="A899" s="4" t="s">
        <v>314</v>
      </c>
      <c r="B899" s="4" t="s">
        <v>1232</v>
      </c>
      <c r="C899" s="4" t="s">
        <v>1233</v>
      </c>
      <c r="D899" s="4" t="s">
        <v>273</v>
      </c>
      <c r="E899" s="4" t="s">
        <v>1242</v>
      </c>
      <c r="F899" s="14">
        <v>1.0</v>
      </c>
      <c r="G899" s="40">
        <v>46082.0</v>
      </c>
    </row>
    <row r="900" ht="15.75" customHeight="1">
      <c r="A900" s="4" t="s">
        <v>314</v>
      </c>
      <c r="B900" s="4" t="s">
        <v>1232</v>
      </c>
      <c r="C900" s="4" t="s">
        <v>1233</v>
      </c>
      <c r="D900" s="4" t="s">
        <v>273</v>
      </c>
      <c r="E900" s="4" t="s">
        <v>1243</v>
      </c>
      <c r="F900" s="14">
        <v>1.0</v>
      </c>
      <c r="G900" s="40">
        <v>46082.0</v>
      </c>
    </row>
    <row r="901" ht="15.75" customHeight="1">
      <c r="A901" s="4" t="s">
        <v>314</v>
      </c>
      <c r="B901" s="4" t="s">
        <v>1232</v>
      </c>
      <c r="C901" s="4" t="s">
        <v>1233</v>
      </c>
      <c r="D901" s="4" t="s">
        <v>273</v>
      </c>
      <c r="E901" s="4" t="s">
        <v>1244</v>
      </c>
      <c r="F901" s="14">
        <v>1.0</v>
      </c>
      <c r="G901" s="40">
        <v>46082.0</v>
      </c>
    </row>
    <row r="902" ht="15.75" customHeight="1">
      <c r="A902" s="4" t="s">
        <v>314</v>
      </c>
      <c r="B902" s="4" t="s">
        <v>1232</v>
      </c>
      <c r="C902" s="4" t="s">
        <v>1233</v>
      </c>
      <c r="D902" s="4" t="s">
        <v>194</v>
      </c>
      <c r="E902" s="4" t="s">
        <v>1245</v>
      </c>
      <c r="F902" s="14">
        <v>0.5</v>
      </c>
      <c r="G902" s="40">
        <v>46082.0</v>
      </c>
    </row>
    <row r="903" ht="15.75" customHeight="1">
      <c r="A903" s="4" t="s">
        <v>314</v>
      </c>
      <c r="B903" s="4" t="s">
        <v>1232</v>
      </c>
      <c r="C903" s="4" t="s">
        <v>1233</v>
      </c>
      <c r="D903" s="4" t="s">
        <v>273</v>
      </c>
      <c r="E903" s="4" t="s">
        <v>1246</v>
      </c>
      <c r="F903" s="14">
        <v>1.0</v>
      </c>
      <c r="G903" s="40">
        <v>46082.0</v>
      </c>
    </row>
    <row r="904" ht="15.75" customHeight="1">
      <c r="A904" s="4" t="s">
        <v>314</v>
      </c>
      <c r="B904" s="4" t="s">
        <v>1232</v>
      </c>
      <c r="C904" s="4" t="s">
        <v>1233</v>
      </c>
      <c r="D904" s="4" t="s">
        <v>194</v>
      </c>
      <c r="E904" s="4" t="s">
        <v>1247</v>
      </c>
      <c r="F904" s="14">
        <v>0.5</v>
      </c>
      <c r="G904" s="40">
        <v>46082.0</v>
      </c>
    </row>
    <row r="905" ht="15.75" customHeight="1">
      <c r="A905" s="4" t="s">
        <v>314</v>
      </c>
      <c r="B905" s="4" t="s">
        <v>1232</v>
      </c>
      <c r="C905" s="4" t="s">
        <v>1233</v>
      </c>
      <c r="D905" s="4" t="s">
        <v>273</v>
      </c>
      <c r="E905" s="4" t="s">
        <v>1248</v>
      </c>
      <c r="F905" s="14">
        <v>1.0</v>
      </c>
      <c r="G905" s="40">
        <v>46082.0</v>
      </c>
    </row>
    <row r="906" ht="15.75" customHeight="1">
      <c r="A906" s="4" t="s">
        <v>314</v>
      </c>
      <c r="B906" s="4" t="s">
        <v>1232</v>
      </c>
      <c r="C906" s="4" t="s">
        <v>1233</v>
      </c>
      <c r="D906" s="4" t="s">
        <v>286</v>
      </c>
      <c r="E906" s="4" t="s">
        <v>1249</v>
      </c>
      <c r="F906" s="14">
        <v>0.75</v>
      </c>
      <c r="G906" s="40">
        <v>46082.0</v>
      </c>
    </row>
    <row r="907" ht="15.75" customHeight="1">
      <c r="A907" s="4" t="s">
        <v>314</v>
      </c>
      <c r="B907" s="4" t="s">
        <v>1232</v>
      </c>
      <c r="C907" s="4" t="s">
        <v>1233</v>
      </c>
      <c r="D907" s="4" t="s">
        <v>273</v>
      </c>
      <c r="E907" s="4" t="s">
        <v>1250</v>
      </c>
      <c r="F907" s="14">
        <v>1.0</v>
      </c>
      <c r="G907" s="40">
        <v>46082.0</v>
      </c>
    </row>
    <row r="908" ht="15.75" customHeight="1">
      <c r="A908" s="4" t="s">
        <v>314</v>
      </c>
      <c r="B908" s="4" t="s">
        <v>1232</v>
      </c>
      <c r="C908" s="4" t="s">
        <v>1233</v>
      </c>
      <c r="D908" s="4" t="s">
        <v>363</v>
      </c>
      <c r="E908" s="4" t="s">
        <v>1251</v>
      </c>
      <c r="F908" s="14">
        <v>2.0</v>
      </c>
      <c r="G908" s="40">
        <v>46082.0</v>
      </c>
    </row>
    <row r="909" ht="15.75" customHeight="1">
      <c r="A909" s="4" t="s">
        <v>314</v>
      </c>
      <c r="B909" s="4" t="s">
        <v>1232</v>
      </c>
      <c r="C909" s="4" t="s">
        <v>1233</v>
      </c>
      <c r="D909" s="4" t="s">
        <v>194</v>
      </c>
      <c r="E909" s="4" t="s">
        <v>1252</v>
      </c>
      <c r="F909" s="14">
        <v>0.5</v>
      </c>
      <c r="G909" s="40">
        <v>46082.0</v>
      </c>
    </row>
    <row r="910" ht="15.75" customHeight="1">
      <c r="A910" s="4" t="s">
        <v>314</v>
      </c>
      <c r="B910" s="4" t="s">
        <v>1253</v>
      </c>
      <c r="C910" s="4" t="s">
        <v>1254</v>
      </c>
      <c r="D910" s="4" t="s">
        <v>273</v>
      </c>
      <c r="E910" s="4" t="s">
        <v>1255</v>
      </c>
      <c r="F910" s="14">
        <v>1.0</v>
      </c>
      <c r="G910" s="40">
        <v>46082.0</v>
      </c>
    </row>
    <row r="911" ht="15.75" customHeight="1">
      <c r="A911" s="4" t="s">
        <v>314</v>
      </c>
      <c r="B911" s="4" t="s">
        <v>1253</v>
      </c>
      <c r="C911" s="4" t="s">
        <v>1254</v>
      </c>
      <c r="D911" s="4" t="s">
        <v>273</v>
      </c>
      <c r="E911" s="4" t="s">
        <v>1256</v>
      </c>
      <c r="F911" s="14">
        <v>1.0</v>
      </c>
      <c r="G911" s="40">
        <v>46082.0</v>
      </c>
    </row>
    <row r="912" ht="15.75" customHeight="1">
      <c r="A912" s="4" t="s">
        <v>314</v>
      </c>
      <c r="B912" s="4" t="s">
        <v>1253</v>
      </c>
      <c r="C912" s="4" t="s">
        <v>1254</v>
      </c>
      <c r="D912" s="4" t="s">
        <v>283</v>
      </c>
      <c r="E912" s="4" t="s">
        <v>1257</v>
      </c>
      <c r="F912" s="14">
        <v>1.5</v>
      </c>
      <c r="G912" s="40">
        <v>46082.0</v>
      </c>
    </row>
    <row r="913" ht="15.75" customHeight="1">
      <c r="A913" s="4" t="s">
        <v>314</v>
      </c>
      <c r="B913" s="4" t="s">
        <v>1253</v>
      </c>
      <c r="C913" s="4" t="s">
        <v>1254</v>
      </c>
      <c r="D913" s="4" t="s">
        <v>194</v>
      </c>
      <c r="E913" s="4" t="s">
        <v>1258</v>
      </c>
      <c r="F913" s="14">
        <v>0.5</v>
      </c>
      <c r="G913" s="40">
        <v>46082.0</v>
      </c>
    </row>
    <row r="914" ht="15.75" customHeight="1">
      <c r="A914" s="4" t="s">
        <v>314</v>
      </c>
      <c r="B914" s="4" t="s">
        <v>1253</v>
      </c>
      <c r="C914" s="4" t="s">
        <v>1254</v>
      </c>
      <c r="D914" s="4" t="s">
        <v>273</v>
      </c>
      <c r="E914" s="4" t="s">
        <v>1259</v>
      </c>
      <c r="F914" s="14">
        <v>1.0</v>
      </c>
      <c r="G914" s="40">
        <v>46082.0</v>
      </c>
    </row>
    <row r="915" ht="15.75" customHeight="1">
      <c r="A915" s="4" t="s">
        <v>314</v>
      </c>
      <c r="B915" s="4" t="s">
        <v>1260</v>
      </c>
      <c r="C915" s="4" t="s">
        <v>1261</v>
      </c>
      <c r="D915" s="4" t="s">
        <v>283</v>
      </c>
      <c r="E915" s="4" t="s">
        <v>1262</v>
      </c>
      <c r="F915" s="14">
        <v>1.5</v>
      </c>
      <c r="G915" s="40">
        <v>46054.0</v>
      </c>
    </row>
    <row r="916" ht="15.75" customHeight="1">
      <c r="A916" s="4" t="s">
        <v>314</v>
      </c>
      <c r="B916" s="4" t="s">
        <v>1260</v>
      </c>
      <c r="C916" s="4" t="s">
        <v>1261</v>
      </c>
      <c r="D916" s="4" t="s">
        <v>273</v>
      </c>
      <c r="E916" s="4" t="s">
        <v>1263</v>
      </c>
      <c r="F916" s="14">
        <v>1.0</v>
      </c>
      <c r="G916" s="40">
        <v>46054.0</v>
      </c>
    </row>
    <row r="917" ht="15.75" customHeight="1">
      <c r="A917" s="4" t="s">
        <v>314</v>
      </c>
      <c r="B917" s="4" t="s">
        <v>1260</v>
      </c>
      <c r="C917" s="4" t="s">
        <v>1261</v>
      </c>
      <c r="D917" s="4" t="s">
        <v>194</v>
      </c>
      <c r="E917" s="4" t="s">
        <v>1264</v>
      </c>
      <c r="F917" s="14">
        <v>0.5</v>
      </c>
      <c r="G917" s="40">
        <v>46082.0</v>
      </c>
    </row>
    <row r="918" ht="15.75" customHeight="1">
      <c r="A918" s="4" t="s">
        <v>314</v>
      </c>
      <c r="B918" s="4" t="s">
        <v>1265</v>
      </c>
      <c r="C918" s="4" t="s">
        <v>1266</v>
      </c>
      <c r="D918" s="4" t="s">
        <v>194</v>
      </c>
      <c r="E918" s="4" t="s">
        <v>1267</v>
      </c>
      <c r="F918" s="14">
        <v>0.5</v>
      </c>
      <c r="G918" s="40">
        <v>46082.0</v>
      </c>
    </row>
    <row r="919" ht="15.75" customHeight="1">
      <c r="A919" s="4" t="s">
        <v>314</v>
      </c>
      <c r="B919" s="4" t="s">
        <v>1268</v>
      </c>
      <c r="C919" s="4" t="s">
        <v>1269</v>
      </c>
      <c r="D919" s="4" t="s">
        <v>826</v>
      </c>
      <c r="E919" s="4" t="s">
        <v>1270</v>
      </c>
      <c r="F919" s="14">
        <v>3.0</v>
      </c>
      <c r="G919" s="40">
        <v>46054.0</v>
      </c>
    </row>
    <row r="920" ht="15.75" customHeight="1">
      <c r="A920" s="4" t="s">
        <v>314</v>
      </c>
      <c r="B920" s="4" t="s">
        <v>1268</v>
      </c>
      <c r="C920" s="4" t="s">
        <v>1269</v>
      </c>
      <c r="D920" s="4" t="s">
        <v>273</v>
      </c>
      <c r="E920" s="4" t="s">
        <v>1271</v>
      </c>
      <c r="F920" s="14">
        <v>1.0</v>
      </c>
      <c r="G920" s="40">
        <v>46054.0</v>
      </c>
    </row>
    <row r="921" ht="15.75" customHeight="1">
      <c r="A921" s="4" t="s">
        <v>314</v>
      </c>
      <c r="B921" s="4" t="s">
        <v>1272</v>
      </c>
      <c r="C921" s="4" t="s">
        <v>1273</v>
      </c>
      <c r="D921" s="4" t="s">
        <v>194</v>
      </c>
      <c r="E921" s="4" t="s">
        <v>1274</v>
      </c>
      <c r="F921" s="14">
        <v>0.5</v>
      </c>
      <c r="G921" s="40">
        <v>46054.0</v>
      </c>
    </row>
    <row r="922" ht="15.75" customHeight="1">
      <c r="A922" s="4" t="s">
        <v>314</v>
      </c>
      <c r="B922" s="4" t="s">
        <v>1272</v>
      </c>
      <c r="C922" s="4" t="s">
        <v>1273</v>
      </c>
      <c r="D922" s="4" t="s">
        <v>273</v>
      </c>
      <c r="E922" s="4" t="s">
        <v>1275</v>
      </c>
      <c r="F922" s="14">
        <v>1.0</v>
      </c>
      <c r="G922" s="40">
        <v>46054.0</v>
      </c>
    </row>
    <row r="923" ht="15.75" customHeight="1">
      <c r="A923" s="4" t="s">
        <v>314</v>
      </c>
      <c r="B923" s="4" t="s">
        <v>1272</v>
      </c>
      <c r="C923" s="4" t="s">
        <v>1273</v>
      </c>
      <c r="D923" s="4" t="s">
        <v>194</v>
      </c>
      <c r="E923" s="4" t="s">
        <v>1276</v>
      </c>
      <c r="F923" s="14">
        <v>0.5</v>
      </c>
      <c r="G923" s="40">
        <v>46082.0</v>
      </c>
    </row>
    <row r="924" ht="15.75" customHeight="1">
      <c r="A924" s="4" t="s">
        <v>314</v>
      </c>
      <c r="B924" s="4" t="s">
        <v>1272</v>
      </c>
      <c r="C924" s="4" t="s">
        <v>1273</v>
      </c>
      <c r="D924" s="4" t="s">
        <v>273</v>
      </c>
      <c r="E924" s="4" t="s">
        <v>1277</v>
      </c>
      <c r="F924" s="14">
        <v>1.0</v>
      </c>
      <c r="G924" s="40">
        <v>46082.0</v>
      </c>
    </row>
    <row r="925" ht="15.75" customHeight="1">
      <c r="A925" s="4" t="s">
        <v>314</v>
      </c>
      <c r="B925" s="4" t="s">
        <v>1272</v>
      </c>
      <c r="C925" s="4" t="s">
        <v>1273</v>
      </c>
      <c r="D925" s="4" t="s">
        <v>194</v>
      </c>
      <c r="E925" s="4" t="s">
        <v>1278</v>
      </c>
      <c r="F925" s="14">
        <v>0.5</v>
      </c>
      <c r="G925" s="40">
        <v>46082.0</v>
      </c>
    </row>
    <row r="926" ht="15.75" customHeight="1">
      <c r="A926" s="4" t="s">
        <v>314</v>
      </c>
      <c r="B926" s="4" t="s">
        <v>1272</v>
      </c>
      <c r="C926" s="4" t="s">
        <v>1273</v>
      </c>
      <c r="D926" s="4" t="s">
        <v>273</v>
      </c>
      <c r="E926" s="4" t="s">
        <v>1279</v>
      </c>
      <c r="F926" s="14">
        <v>1.0</v>
      </c>
      <c r="G926" s="40">
        <v>46082.0</v>
      </c>
    </row>
    <row r="927" ht="15.75" customHeight="1">
      <c r="A927" s="4" t="s">
        <v>314</v>
      </c>
      <c r="B927" s="4" t="s">
        <v>1272</v>
      </c>
      <c r="C927" s="4" t="s">
        <v>1273</v>
      </c>
      <c r="D927" s="4" t="s">
        <v>273</v>
      </c>
      <c r="E927" s="4" t="s">
        <v>1280</v>
      </c>
      <c r="F927" s="14">
        <v>1.0</v>
      </c>
      <c r="G927" s="40">
        <v>46082.0</v>
      </c>
    </row>
    <row r="928" ht="15.75" customHeight="1">
      <c r="A928" s="4" t="s">
        <v>314</v>
      </c>
      <c r="B928" s="4" t="s">
        <v>1272</v>
      </c>
      <c r="C928" s="4" t="s">
        <v>1273</v>
      </c>
      <c r="D928" s="4" t="s">
        <v>194</v>
      </c>
      <c r="E928" s="4" t="s">
        <v>1281</v>
      </c>
      <c r="F928" s="14">
        <v>0.5</v>
      </c>
      <c r="G928" s="40">
        <v>46082.0</v>
      </c>
    </row>
    <row r="929" ht="15.75" customHeight="1">
      <c r="A929" s="4" t="s">
        <v>314</v>
      </c>
      <c r="B929" s="4" t="s">
        <v>1272</v>
      </c>
      <c r="C929" s="4" t="s">
        <v>1273</v>
      </c>
      <c r="D929" s="4" t="s">
        <v>273</v>
      </c>
      <c r="E929" s="4" t="s">
        <v>659</v>
      </c>
      <c r="F929" s="14">
        <v>1.0</v>
      </c>
      <c r="G929" s="40">
        <v>46082.0</v>
      </c>
    </row>
    <row r="930" ht="15.75" customHeight="1">
      <c r="A930" s="4" t="s">
        <v>314</v>
      </c>
      <c r="B930" s="4" t="s">
        <v>1272</v>
      </c>
      <c r="C930" s="4" t="s">
        <v>1273</v>
      </c>
      <c r="D930" s="4" t="s">
        <v>194</v>
      </c>
      <c r="E930" s="4" t="s">
        <v>1282</v>
      </c>
      <c r="F930" s="14">
        <v>0.5</v>
      </c>
      <c r="G930" s="40">
        <v>46082.0</v>
      </c>
    </row>
    <row r="931" ht="15.75" customHeight="1">
      <c r="A931" s="4" t="s">
        <v>314</v>
      </c>
      <c r="B931" s="4" t="s">
        <v>1272</v>
      </c>
      <c r="C931" s="4" t="s">
        <v>1273</v>
      </c>
      <c r="D931" s="4" t="s">
        <v>194</v>
      </c>
      <c r="E931" s="4" t="s">
        <v>1283</v>
      </c>
      <c r="F931" s="14">
        <v>0.5</v>
      </c>
      <c r="G931" s="40">
        <v>46082.0</v>
      </c>
    </row>
    <row r="932" ht="15.75" customHeight="1">
      <c r="A932" s="4" t="s">
        <v>314</v>
      </c>
      <c r="B932" s="4" t="s">
        <v>1272</v>
      </c>
      <c r="C932" s="4" t="s">
        <v>1273</v>
      </c>
      <c r="D932" s="4" t="s">
        <v>273</v>
      </c>
      <c r="E932" s="4" t="s">
        <v>1284</v>
      </c>
      <c r="F932" s="14">
        <v>1.0</v>
      </c>
      <c r="G932" s="40">
        <v>46082.0</v>
      </c>
    </row>
    <row r="933" ht="15.75" customHeight="1">
      <c r="A933" s="4" t="s">
        <v>314</v>
      </c>
      <c r="B933" s="4" t="s">
        <v>1272</v>
      </c>
      <c r="C933" s="4" t="s">
        <v>1273</v>
      </c>
      <c r="D933" s="4" t="s">
        <v>194</v>
      </c>
      <c r="E933" s="4" t="s">
        <v>1285</v>
      </c>
      <c r="F933" s="14">
        <v>0.5</v>
      </c>
      <c r="G933" s="40">
        <v>46082.0</v>
      </c>
    </row>
    <row r="934" ht="15.75" customHeight="1">
      <c r="A934" s="4" t="s">
        <v>314</v>
      </c>
      <c r="B934" s="4" t="s">
        <v>1272</v>
      </c>
      <c r="C934" s="4" t="s">
        <v>1273</v>
      </c>
      <c r="D934" s="4" t="s">
        <v>273</v>
      </c>
      <c r="E934" s="4" t="s">
        <v>1286</v>
      </c>
      <c r="F934" s="14">
        <v>1.0</v>
      </c>
      <c r="G934" s="40">
        <v>46082.0</v>
      </c>
    </row>
    <row r="935" ht="15.75" customHeight="1">
      <c r="A935" s="4" t="s">
        <v>314</v>
      </c>
      <c r="B935" s="4" t="s">
        <v>1272</v>
      </c>
      <c r="C935" s="4" t="s">
        <v>1273</v>
      </c>
      <c r="D935" s="4" t="s">
        <v>273</v>
      </c>
      <c r="E935" s="4" t="s">
        <v>1287</v>
      </c>
      <c r="F935" s="14">
        <v>1.0</v>
      </c>
      <c r="G935" s="40">
        <v>46113.0</v>
      </c>
    </row>
    <row r="936" ht="15.75" customHeight="1">
      <c r="A936" s="4" t="s">
        <v>314</v>
      </c>
      <c r="B936" s="4" t="s">
        <v>1272</v>
      </c>
      <c r="C936" s="4" t="s">
        <v>1273</v>
      </c>
      <c r="D936" s="4" t="s">
        <v>273</v>
      </c>
      <c r="E936" s="4" t="s">
        <v>1287</v>
      </c>
      <c r="F936" s="14">
        <v>1.0</v>
      </c>
      <c r="G936" s="40">
        <v>46113.0</v>
      </c>
    </row>
    <row r="937" ht="15.75" customHeight="1">
      <c r="A937" s="4" t="s">
        <v>314</v>
      </c>
      <c r="B937" s="4" t="s">
        <v>1272</v>
      </c>
      <c r="C937" s="4" t="s">
        <v>1273</v>
      </c>
      <c r="D937" s="4" t="s">
        <v>194</v>
      </c>
      <c r="E937" s="4" t="s">
        <v>1288</v>
      </c>
      <c r="F937" s="14">
        <v>0.5</v>
      </c>
      <c r="G937" s="40">
        <v>46113.0</v>
      </c>
    </row>
    <row r="938" ht="15.75" customHeight="1">
      <c r="A938" s="4" t="s">
        <v>314</v>
      </c>
      <c r="B938" s="4" t="s">
        <v>1272</v>
      </c>
      <c r="C938" s="4" t="s">
        <v>1273</v>
      </c>
      <c r="D938" s="4" t="s">
        <v>194</v>
      </c>
      <c r="E938" s="4" t="s">
        <v>1289</v>
      </c>
      <c r="F938" s="14">
        <v>0.5</v>
      </c>
      <c r="G938" s="40">
        <v>46113.0</v>
      </c>
    </row>
    <row r="939" ht="15.75" customHeight="1">
      <c r="A939" s="4" t="s">
        <v>314</v>
      </c>
      <c r="B939" s="4" t="s">
        <v>1272</v>
      </c>
      <c r="C939" s="4" t="s">
        <v>1273</v>
      </c>
      <c r="D939" s="4" t="s">
        <v>194</v>
      </c>
      <c r="E939" s="4" t="s">
        <v>1290</v>
      </c>
      <c r="F939" s="14">
        <v>0.5</v>
      </c>
      <c r="G939" s="40">
        <v>46113.0</v>
      </c>
    </row>
    <row r="940" ht="15.75" customHeight="1">
      <c r="A940" s="4" t="s">
        <v>314</v>
      </c>
      <c r="B940" s="4" t="s">
        <v>1272</v>
      </c>
      <c r="C940" s="4" t="s">
        <v>1273</v>
      </c>
      <c r="D940" s="4" t="s">
        <v>273</v>
      </c>
      <c r="E940" s="4" t="s">
        <v>1291</v>
      </c>
      <c r="F940" s="14">
        <v>1.0</v>
      </c>
      <c r="G940" s="40">
        <v>46113.0</v>
      </c>
    </row>
    <row r="941" ht="15.75" customHeight="1">
      <c r="A941" s="4" t="s">
        <v>314</v>
      </c>
      <c r="B941" s="4" t="s">
        <v>1272</v>
      </c>
      <c r="C941" s="4" t="s">
        <v>1273</v>
      </c>
      <c r="D941" s="4" t="s">
        <v>194</v>
      </c>
      <c r="E941" s="4" t="s">
        <v>1292</v>
      </c>
      <c r="F941" s="14">
        <v>0.5</v>
      </c>
      <c r="G941" s="40">
        <v>46113.0</v>
      </c>
    </row>
    <row r="942" ht="15.75" customHeight="1">
      <c r="A942" s="4" t="s">
        <v>314</v>
      </c>
      <c r="B942" s="4" t="s">
        <v>1272</v>
      </c>
      <c r="C942" s="4" t="s">
        <v>1273</v>
      </c>
      <c r="D942" s="4" t="s">
        <v>194</v>
      </c>
      <c r="E942" s="4" t="s">
        <v>1225</v>
      </c>
      <c r="F942" s="14">
        <v>0.5</v>
      </c>
      <c r="G942" s="40">
        <v>46113.0</v>
      </c>
    </row>
    <row r="943" ht="15.75" customHeight="1">
      <c r="A943" s="4" t="s">
        <v>314</v>
      </c>
      <c r="B943" s="4" t="s">
        <v>1272</v>
      </c>
      <c r="C943" s="4" t="s">
        <v>1273</v>
      </c>
      <c r="D943" s="4" t="s">
        <v>273</v>
      </c>
      <c r="E943" s="4" t="s">
        <v>1293</v>
      </c>
      <c r="F943" s="14">
        <v>1.0</v>
      </c>
      <c r="G943" s="40">
        <v>46113.0</v>
      </c>
    </row>
    <row r="944" ht="15.75" customHeight="1">
      <c r="A944" s="4" t="s">
        <v>314</v>
      </c>
      <c r="B944" s="4" t="s">
        <v>1272</v>
      </c>
      <c r="C944" s="4" t="s">
        <v>1273</v>
      </c>
      <c r="D944" s="4" t="s">
        <v>194</v>
      </c>
      <c r="E944" s="4" t="s">
        <v>1294</v>
      </c>
      <c r="F944" s="14">
        <v>0.5</v>
      </c>
      <c r="G944" s="40">
        <v>46113.0</v>
      </c>
    </row>
    <row r="945" ht="15.75" customHeight="1">
      <c r="A945" s="4" t="s">
        <v>314</v>
      </c>
      <c r="B945" s="4" t="s">
        <v>1272</v>
      </c>
      <c r="C945" s="4" t="s">
        <v>1273</v>
      </c>
      <c r="D945" s="4" t="s">
        <v>194</v>
      </c>
      <c r="E945" s="4" t="s">
        <v>1295</v>
      </c>
      <c r="F945" s="14">
        <v>0.5</v>
      </c>
      <c r="G945" s="40">
        <v>46113.0</v>
      </c>
    </row>
    <row r="946" ht="15.75" customHeight="1">
      <c r="A946" s="4" t="s">
        <v>314</v>
      </c>
      <c r="B946" s="4" t="s">
        <v>1272</v>
      </c>
      <c r="C946" s="4" t="s">
        <v>1273</v>
      </c>
      <c r="D946" s="4" t="s">
        <v>194</v>
      </c>
      <c r="E946" s="4" t="s">
        <v>1296</v>
      </c>
      <c r="F946" s="14">
        <v>0.5</v>
      </c>
      <c r="G946" s="40">
        <v>46113.0</v>
      </c>
    </row>
    <row r="947" ht="15.75" customHeight="1">
      <c r="A947" s="4" t="s">
        <v>314</v>
      </c>
      <c r="B947" s="4" t="s">
        <v>1272</v>
      </c>
      <c r="C947" s="4" t="s">
        <v>1273</v>
      </c>
      <c r="D947" s="4" t="s">
        <v>194</v>
      </c>
      <c r="E947" s="4" t="s">
        <v>1297</v>
      </c>
      <c r="F947" s="14">
        <v>0.5</v>
      </c>
      <c r="G947" s="40">
        <v>46113.0</v>
      </c>
    </row>
    <row r="948" ht="15.75" customHeight="1">
      <c r="A948" s="4" t="s">
        <v>314</v>
      </c>
      <c r="B948" s="4" t="s">
        <v>1272</v>
      </c>
      <c r="C948" s="4" t="s">
        <v>1273</v>
      </c>
      <c r="D948" s="4" t="s">
        <v>194</v>
      </c>
      <c r="E948" s="4" t="s">
        <v>1298</v>
      </c>
      <c r="F948" s="14">
        <v>0.5</v>
      </c>
      <c r="G948" s="40">
        <v>46113.0</v>
      </c>
    </row>
    <row r="949" ht="15.75" customHeight="1">
      <c r="A949" s="4" t="s">
        <v>314</v>
      </c>
      <c r="B949" s="4" t="s">
        <v>1272</v>
      </c>
      <c r="C949" s="4" t="s">
        <v>1273</v>
      </c>
      <c r="D949" s="4" t="s">
        <v>194</v>
      </c>
      <c r="E949" s="4" t="s">
        <v>1299</v>
      </c>
      <c r="F949" s="14">
        <v>0.5</v>
      </c>
      <c r="G949" s="40">
        <v>46113.0</v>
      </c>
    </row>
    <row r="950" ht="15.75" customHeight="1">
      <c r="A950" s="4" t="s">
        <v>314</v>
      </c>
      <c r="B950" s="4" t="s">
        <v>1272</v>
      </c>
      <c r="C950" s="4" t="s">
        <v>1273</v>
      </c>
      <c r="D950" s="4" t="s">
        <v>273</v>
      </c>
      <c r="E950" s="4" t="s">
        <v>1300</v>
      </c>
      <c r="F950" s="14">
        <v>1.0</v>
      </c>
      <c r="G950" s="40">
        <v>46113.0</v>
      </c>
    </row>
    <row r="951" ht="15.75" customHeight="1">
      <c r="A951" s="4" t="s">
        <v>314</v>
      </c>
      <c r="B951" s="4" t="s">
        <v>1272</v>
      </c>
      <c r="C951" s="4" t="s">
        <v>1273</v>
      </c>
      <c r="D951" s="4" t="s">
        <v>194</v>
      </c>
      <c r="E951" s="4" t="s">
        <v>1301</v>
      </c>
      <c r="F951" s="14">
        <v>0.5</v>
      </c>
      <c r="G951" s="40">
        <v>46113.0</v>
      </c>
    </row>
    <row r="952" ht="15.75" customHeight="1">
      <c r="A952" s="4" t="s">
        <v>314</v>
      </c>
      <c r="B952" s="4" t="s">
        <v>1272</v>
      </c>
      <c r="C952" s="4" t="s">
        <v>1273</v>
      </c>
      <c r="D952" s="4" t="s">
        <v>194</v>
      </c>
      <c r="E952" s="4" t="s">
        <v>1302</v>
      </c>
      <c r="F952" s="14">
        <v>0.5</v>
      </c>
      <c r="G952" s="40">
        <v>46113.0</v>
      </c>
    </row>
    <row r="953" ht="15.75" customHeight="1">
      <c r="A953" s="4" t="s">
        <v>314</v>
      </c>
      <c r="B953" s="4" t="s">
        <v>1272</v>
      </c>
      <c r="C953" s="4" t="s">
        <v>1273</v>
      </c>
      <c r="D953" s="4" t="s">
        <v>194</v>
      </c>
      <c r="E953" s="4" t="s">
        <v>1303</v>
      </c>
      <c r="F953" s="14">
        <v>0.5</v>
      </c>
      <c r="G953" s="40">
        <v>46143.0</v>
      </c>
    </row>
    <row r="954" ht="15.75" customHeight="1">
      <c r="A954" s="4" t="s">
        <v>314</v>
      </c>
      <c r="B954" s="4" t="s">
        <v>1272</v>
      </c>
      <c r="C954" s="4" t="s">
        <v>1273</v>
      </c>
      <c r="D954" s="4" t="s">
        <v>194</v>
      </c>
      <c r="E954" s="4" t="s">
        <v>1304</v>
      </c>
      <c r="F954" s="14">
        <v>0.5</v>
      </c>
      <c r="G954" s="40">
        <v>46143.0</v>
      </c>
    </row>
    <row r="955" ht="15.75" customHeight="1">
      <c r="A955" s="4" t="s">
        <v>314</v>
      </c>
      <c r="B955" s="4" t="s">
        <v>1305</v>
      </c>
      <c r="C955" s="4" t="s">
        <v>1306</v>
      </c>
      <c r="D955" s="4" t="s">
        <v>273</v>
      </c>
      <c r="E955" s="4" t="s">
        <v>1307</v>
      </c>
      <c r="F955" s="14">
        <v>1.0</v>
      </c>
      <c r="G955" s="40">
        <v>46054.0</v>
      </c>
    </row>
    <row r="956" ht="15.75" customHeight="1">
      <c r="A956" s="4" t="s">
        <v>314</v>
      </c>
      <c r="B956" s="4" t="s">
        <v>1305</v>
      </c>
      <c r="C956" s="4" t="s">
        <v>1306</v>
      </c>
      <c r="D956" s="4" t="s">
        <v>194</v>
      </c>
      <c r="E956" s="4" t="s">
        <v>1308</v>
      </c>
      <c r="F956" s="14">
        <v>0.5</v>
      </c>
      <c r="G956" s="40">
        <v>46054.0</v>
      </c>
    </row>
    <row r="957" ht="15.75" customHeight="1">
      <c r="A957" s="4" t="s">
        <v>314</v>
      </c>
      <c r="B957" s="4" t="s">
        <v>1305</v>
      </c>
      <c r="C957" s="4" t="s">
        <v>1306</v>
      </c>
      <c r="D957" s="4" t="s">
        <v>194</v>
      </c>
      <c r="E957" s="4" t="s">
        <v>1309</v>
      </c>
      <c r="F957" s="14">
        <v>0.5</v>
      </c>
      <c r="G957" s="40">
        <v>46054.0</v>
      </c>
    </row>
    <row r="958" ht="15.75" customHeight="1">
      <c r="A958" s="4" t="s">
        <v>314</v>
      </c>
      <c r="B958" s="4" t="s">
        <v>1305</v>
      </c>
      <c r="C958" s="4" t="s">
        <v>1306</v>
      </c>
      <c r="D958" s="4" t="s">
        <v>194</v>
      </c>
      <c r="E958" s="4" t="s">
        <v>1310</v>
      </c>
      <c r="F958" s="14">
        <v>0.5</v>
      </c>
      <c r="G958" s="40">
        <v>46054.0</v>
      </c>
    </row>
    <row r="959" ht="15.75" customHeight="1">
      <c r="A959" s="4" t="s">
        <v>314</v>
      </c>
      <c r="B959" s="4" t="s">
        <v>1305</v>
      </c>
      <c r="C959" s="4" t="s">
        <v>1306</v>
      </c>
      <c r="D959" s="4" t="s">
        <v>194</v>
      </c>
      <c r="E959" s="4" t="s">
        <v>1311</v>
      </c>
      <c r="F959" s="14">
        <v>0.5</v>
      </c>
      <c r="G959" s="40">
        <v>46054.0</v>
      </c>
    </row>
    <row r="960" ht="15.75" customHeight="1">
      <c r="A960" s="4" t="s">
        <v>314</v>
      </c>
      <c r="B960" s="4" t="s">
        <v>1305</v>
      </c>
      <c r="C960" s="4" t="s">
        <v>1306</v>
      </c>
      <c r="D960" s="4" t="s">
        <v>194</v>
      </c>
      <c r="E960" s="4" t="s">
        <v>1312</v>
      </c>
      <c r="F960" s="14">
        <v>0.5</v>
      </c>
      <c r="G960" s="40">
        <v>46082.0</v>
      </c>
    </row>
    <row r="961" ht="15.75" customHeight="1">
      <c r="A961" s="4" t="s">
        <v>314</v>
      </c>
      <c r="B961" s="4" t="s">
        <v>1305</v>
      </c>
      <c r="C961" s="4" t="s">
        <v>1306</v>
      </c>
      <c r="D961" s="4" t="s">
        <v>194</v>
      </c>
      <c r="E961" s="4" t="s">
        <v>1313</v>
      </c>
      <c r="F961" s="14">
        <v>0.5</v>
      </c>
      <c r="G961" s="40">
        <v>46082.0</v>
      </c>
    </row>
    <row r="962" ht="15.75" customHeight="1">
      <c r="A962" s="4" t="s">
        <v>314</v>
      </c>
      <c r="B962" s="4" t="s">
        <v>1305</v>
      </c>
      <c r="C962" s="4" t="s">
        <v>1306</v>
      </c>
      <c r="D962" s="4" t="s">
        <v>194</v>
      </c>
      <c r="E962" s="4" t="s">
        <v>1314</v>
      </c>
      <c r="F962" s="14">
        <v>0.5</v>
      </c>
      <c r="G962" s="40">
        <v>46082.0</v>
      </c>
    </row>
    <row r="963" ht="15.75" customHeight="1">
      <c r="A963" s="4" t="s">
        <v>314</v>
      </c>
      <c r="B963" s="4" t="s">
        <v>1305</v>
      </c>
      <c r="C963" s="4" t="s">
        <v>1306</v>
      </c>
      <c r="D963" s="4" t="s">
        <v>194</v>
      </c>
      <c r="E963" s="4" t="s">
        <v>1315</v>
      </c>
      <c r="F963" s="14">
        <v>0.5</v>
      </c>
      <c r="G963" s="40">
        <v>46082.0</v>
      </c>
    </row>
    <row r="964" ht="15.75" customHeight="1">
      <c r="A964" s="4" t="s">
        <v>314</v>
      </c>
      <c r="B964" s="4" t="s">
        <v>1305</v>
      </c>
      <c r="C964" s="4" t="s">
        <v>1306</v>
      </c>
      <c r="D964" s="4" t="s">
        <v>420</v>
      </c>
      <c r="E964" s="4" t="s">
        <v>1316</v>
      </c>
      <c r="F964" s="14">
        <v>0.25</v>
      </c>
      <c r="G964" s="40">
        <v>46082.0</v>
      </c>
    </row>
    <row r="965" ht="15.75" customHeight="1">
      <c r="A965" s="4" t="s">
        <v>314</v>
      </c>
      <c r="B965" s="4" t="s">
        <v>1305</v>
      </c>
      <c r="C965" s="4" t="s">
        <v>1306</v>
      </c>
      <c r="D965" s="4" t="s">
        <v>273</v>
      </c>
      <c r="E965" s="4" t="s">
        <v>1317</v>
      </c>
      <c r="F965" s="14">
        <v>1.0</v>
      </c>
      <c r="G965" s="40">
        <v>46082.0</v>
      </c>
    </row>
    <row r="966" ht="15.75" customHeight="1">
      <c r="A966" s="4" t="s">
        <v>314</v>
      </c>
      <c r="B966" s="4" t="s">
        <v>1305</v>
      </c>
      <c r="C966" s="4" t="s">
        <v>1306</v>
      </c>
      <c r="D966" s="4" t="s">
        <v>273</v>
      </c>
      <c r="E966" s="4" t="s">
        <v>1318</v>
      </c>
      <c r="F966" s="14">
        <v>1.0</v>
      </c>
      <c r="G966" s="40">
        <v>46082.0</v>
      </c>
    </row>
    <row r="967" ht="15.75" customHeight="1">
      <c r="A967" s="4" t="s">
        <v>314</v>
      </c>
      <c r="B967" s="4" t="s">
        <v>1305</v>
      </c>
      <c r="C967" s="4" t="s">
        <v>1306</v>
      </c>
      <c r="D967" s="4" t="s">
        <v>194</v>
      </c>
      <c r="E967" s="4" t="s">
        <v>1319</v>
      </c>
      <c r="F967" s="14">
        <v>0.5</v>
      </c>
      <c r="G967" s="40">
        <v>46082.0</v>
      </c>
    </row>
    <row r="968" ht="15.75" customHeight="1">
      <c r="A968" s="4" t="s">
        <v>314</v>
      </c>
      <c r="B968" s="4" t="s">
        <v>1305</v>
      </c>
      <c r="C968" s="4" t="s">
        <v>1306</v>
      </c>
      <c r="D968" s="4" t="s">
        <v>194</v>
      </c>
      <c r="E968" s="4" t="s">
        <v>1320</v>
      </c>
      <c r="F968" s="14">
        <v>0.5</v>
      </c>
      <c r="G968" s="40">
        <v>46082.0</v>
      </c>
    </row>
    <row r="969" ht="15.75" customHeight="1">
      <c r="A969" s="4" t="s">
        <v>314</v>
      </c>
      <c r="B969" s="4" t="s">
        <v>1305</v>
      </c>
      <c r="C969" s="4" t="s">
        <v>1306</v>
      </c>
      <c r="D969" s="4" t="s">
        <v>273</v>
      </c>
      <c r="E969" s="4" t="s">
        <v>1321</v>
      </c>
      <c r="F969" s="14">
        <v>1.0</v>
      </c>
      <c r="G969" s="40">
        <v>46082.0</v>
      </c>
    </row>
    <row r="970" ht="15.75" customHeight="1">
      <c r="A970" s="4" t="s">
        <v>314</v>
      </c>
      <c r="B970" s="4" t="s">
        <v>1305</v>
      </c>
      <c r="C970" s="4" t="s">
        <v>1306</v>
      </c>
      <c r="D970" s="4" t="s">
        <v>194</v>
      </c>
      <c r="E970" s="4" t="s">
        <v>1322</v>
      </c>
      <c r="F970" s="14">
        <v>0.5</v>
      </c>
      <c r="G970" s="40">
        <v>46082.0</v>
      </c>
    </row>
    <row r="971" ht="15.75" customHeight="1">
      <c r="A971" s="4" t="s">
        <v>314</v>
      </c>
      <c r="B971" s="4" t="s">
        <v>1305</v>
      </c>
      <c r="C971" s="4" t="s">
        <v>1306</v>
      </c>
      <c r="D971" s="4" t="s">
        <v>273</v>
      </c>
      <c r="E971" s="4" t="s">
        <v>1323</v>
      </c>
      <c r="F971" s="14">
        <v>1.0</v>
      </c>
      <c r="G971" s="40">
        <v>46082.0</v>
      </c>
    </row>
    <row r="972" ht="15.75" customHeight="1">
      <c r="A972" s="4" t="s">
        <v>314</v>
      </c>
      <c r="B972" s="4" t="s">
        <v>1305</v>
      </c>
      <c r="C972" s="4" t="s">
        <v>1306</v>
      </c>
      <c r="D972" s="4" t="s">
        <v>194</v>
      </c>
      <c r="E972" s="4" t="s">
        <v>1324</v>
      </c>
      <c r="F972" s="14">
        <v>0.5</v>
      </c>
      <c r="G972" s="40">
        <v>46082.0</v>
      </c>
    </row>
    <row r="973" ht="15.75" customHeight="1">
      <c r="A973" s="4" t="s">
        <v>314</v>
      </c>
      <c r="B973" s="4" t="s">
        <v>1305</v>
      </c>
      <c r="C973" s="4" t="s">
        <v>1306</v>
      </c>
      <c r="D973" s="4" t="s">
        <v>194</v>
      </c>
      <c r="E973" s="4" t="s">
        <v>1325</v>
      </c>
      <c r="F973" s="14">
        <v>0.5</v>
      </c>
      <c r="G973" s="40">
        <v>46113.0</v>
      </c>
    </row>
    <row r="974" ht="15.75" customHeight="1">
      <c r="A974" s="4" t="s">
        <v>314</v>
      </c>
      <c r="B974" s="4" t="s">
        <v>1305</v>
      </c>
      <c r="C974" s="4" t="s">
        <v>1306</v>
      </c>
      <c r="D974" s="4" t="s">
        <v>194</v>
      </c>
      <c r="E974" s="4" t="s">
        <v>1326</v>
      </c>
      <c r="F974" s="14">
        <v>0.5</v>
      </c>
      <c r="G974" s="40">
        <v>46113.0</v>
      </c>
    </row>
    <row r="975" ht="15.75" customHeight="1">
      <c r="A975" s="4" t="s">
        <v>314</v>
      </c>
      <c r="B975" s="4" t="s">
        <v>1305</v>
      </c>
      <c r="C975" s="4" t="s">
        <v>1306</v>
      </c>
      <c r="D975" s="4" t="s">
        <v>273</v>
      </c>
      <c r="E975" s="4" t="s">
        <v>1327</v>
      </c>
      <c r="F975" s="14">
        <v>1.0</v>
      </c>
      <c r="G975" s="40">
        <v>46113.0</v>
      </c>
    </row>
    <row r="976" ht="15.75" customHeight="1">
      <c r="A976" s="4" t="s">
        <v>314</v>
      </c>
      <c r="B976" s="4" t="s">
        <v>1305</v>
      </c>
      <c r="C976" s="4" t="s">
        <v>1306</v>
      </c>
      <c r="D976" s="4" t="s">
        <v>420</v>
      </c>
      <c r="E976" s="4" t="s">
        <v>1328</v>
      </c>
      <c r="F976" s="14">
        <v>0.25</v>
      </c>
      <c r="G976" s="40">
        <v>46113.0</v>
      </c>
    </row>
    <row r="977" ht="15.75" customHeight="1">
      <c r="A977" s="4" t="s">
        <v>314</v>
      </c>
      <c r="B977" s="4" t="s">
        <v>1305</v>
      </c>
      <c r="C977" s="4" t="s">
        <v>1306</v>
      </c>
      <c r="D977" s="4" t="s">
        <v>194</v>
      </c>
      <c r="E977" s="4" t="s">
        <v>1329</v>
      </c>
      <c r="F977" s="14">
        <v>0.5</v>
      </c>
      <c r="G977" s="40">
        <v>46113.0</v>
      </c>
    </row>
    <row r="978" ht="15.75" customHeight="1">
      <c r="A978" s="4" t="s">
        <v>314</v>
      </c>
      <c r="B978" s="4" t="s">
        <v>1305</v>
      </c>
      <c r="C978" s="4" t="s">
        <v>1306</v>
      </c>
      <c r="D978" s="4" t="s">
        <v>194</v>
      </c>
      <c r="E978" s="4" t="s">
        <v>1330</v>
      </c>
      <c r="F978" s="14">
        <v>0.5</v>
      </c>
      <c r="G978" s="40">
        <v>46113.0</v>
      </c>
    </row>
    <row r="979" ht="15.75" customHeight="1">
      <c r="A979" s="4" t="s">
        <v>314</v>
      </c>
      <c r="B979" s="4" t="s">
        <v>1305</v>
      </c>
      <c r="C979" s="4" t="s">
        <v>1306</v>
      </c>
      <c r="D979" s="4" t="s">
        <v>194</v>
      </c>
      <c r="E979" s="4" t="s">
        <v>1331</v>
      </c>
      <c r="F979" s="14">
        <v>0.5</v>
      </c>
      <c r="G979" s="40">
        <v>46113.0</v>
      </c>
    </row>
    <row r="980" ht="15.75" customHeight="1">
      <c r="A980" s="4" t="s">
        <v>314</v>
      </c>
      <c r="B980" s="4" t="s">
        <v>1305</v>
      </c>
      <c r="C980" s="4" t="s">
        <v>1306</v>
      </c>
      <c r="D980" s="4" t="s">
        <v>194</v>
      </c>
      <c r="E980" s="4" t="s">
        <v>1332</v>
      </c>
      <c r="F980" s="14">
        <v>0.5</v>
      </c>
      <c r="G980" s="40">
        <v>46113.0</v>
      </c>
    </row>
    <row r="981" ht="15.75" customHeight="1">
      <c r="A981" s="4" t="s">
        <v>314</v>
      </c>
      <c r="B981" s="4" t="s">
        <v>1305</v>
      </c>
      <c r="C981" s="4" t="s">
        <v>1306</v>
      </c>
      <c r="D981" s="4" t="s">
        <v>194</v>
      </c>
      <c r="E981" s="4" t="s">
        <v>1333</v>
      </c>
      <c r="F981" s="14">
        <v>0.5</v>
      </c>
      <c r="G981" s="40">
        <v>46143.0</v>
      </c>
    </row>
    <row r="982" ht="15.75" customHeight="1">
      <c r="A982" s="4" t="s">
        <v>314</v>
      </c>
      <c r="B982" s="4" t="s">
        <v>1305</v>
      </c>
      <c r="C982" s="4" t="s">
        <v>1306</v>
      </c>
      <c r="D982" s="4" t="s">
        <v>194</v>
      </c>
      <c r="E982" s="4" t="s">
        <v>1334</v>
      </c>
      <c r="F982" s="14">
        <v>0.5</v>
      </c>
      <c r="G982" s="40">
        <v>46143.0</v>
      </c>
    </row>
    <row r="983" ht="15.75" customHeight="1">
      <c r="A983" s="4" t="s">
        <v>314</v>
      </c>
      <c r="B983" s="4" t="s">
        <v>1305</v>
      </c>
      <c r="C983" s="4" t="s">
        <v>1306</v>
      </c>
      <c r="D983" s="4" t="s">
        <v>194</v>
      </c>
      <c r="E983" s="4" t="s">
        <v>1334</v>
      </c>
      <c r="F983" s="14">
        <v>0.5</v>
      </c>
      <c r="G983" s="40">
        <v>46143.0</v>
      </c>
    </row>
    <row r="984" ht="15.75" customHeight="1">
      <c r="A984" s="4" t="s">
        <v>314</v>
      </c>
      <c r="B984" s="4" t="s">
        <v>1335</v>
      </c>
      <c r="C984" s="4" t="s">
        <v>1336</v>
      </c>
      <c r="D984" s="4" t="s">
        <v>420</v>
      </c>
      <c r="E984" s="4" t="s">
        <v>1337</v>
      </c>
      <c r="F984" s="14">
        <v>0.25</v>
      </c>
      <c r="G984" s="40">
        <v>46054.0</v>
      </c>
    </row>
    <row r="985" ht="15.75" customHeight="1">
      <c r="A985" s="4" t="s">
        <v>314</v>
      </c>
      <c r="B985" s="4" t="s">
        <v>1335</v>
      </c>
      <c r="C985" s="4" t="s">
        <v>1336</v>
      </c>
      <c r="D985" s="4" t="s">
        <v>194</v>
      </c>
      <c r="E985" s="4" t="s">
        <v>1338</v>
      </c>
      <c r="F985" s="14">
        <v>0.5</v>
      </c>
      <c r="G985" s="40">
        <v>46054.0</v>
      </c>
    </row>
    <row r="986" ht="15.75" customHeight="1">
      <c r="A986" s="4" t="s">
        <v>314</v>
      </c>
      <c r="B986" s="4" t="s">
        <v>1335</v>
      </c>
      <c r="C986" s="4" t="s">
        <v>1336</v>
      </c>
      <c r="D986" s="4" t="s">
        <v>194</v>
      </c>
      <c r="E986" s="4" t="s">
        <v>1339</v>
      </c>
      <c r="F986" s="14">
        <v>0.5</v>
      </c>
      <c r="G986" s="40">
        <v>46054.0</v>
      </c>
    </row>
    <row r="987" ht="15.75" customHeight="1">
      <c r="A987" s="4" t="s">
        <v>314</v>
      </c>
      <c r="B987" s="4" t="s">
        <v>1335</v>
      </c>
      <c r="C987" s="4" t="s">
        <v>1336</v>
      </c>
      <c r="D987" s="4" t="s">
        <v>194</v>
      </c>
      <c r="E987" s="4" t="s">
        <v>1340</v>
      </c>
      <c r="F987" s="14">
        <v>0.5</v>
      </c>
      <c r="G987" s="40">
        <v>46054.0</v>
      </c>
    </row>
    <row r="988" ht="15.75" customHeight="1">
      <c r="A988" s="4" t="s">
        <v>314</v>
      </c>
      <c r="B988" s="4" t="s">
        <v>1335</v>
      </c>
      <c r="C988" s="4" t="s">
        <v>1336</v>
      </c>
      <c r="D988" s="4" t="s">
        <v>273</v>
      </c>
      <c r="E988" s="4" t="s">
        <v>1341</v>
      </c>
      <c r="F988" s="14">
        <v>1.0</v>
      </c>
      <c r="G988" s="40">
        <v>46054.0</v>
      </c>
    </row>
    <row r="989" ht="15.75" customHeight="1">
      <c r="A989" s="4" t="s">
        <v>314</v>
      </c>
      <c r="B989" s="4" t="s">
        <v>1335</v>
      </c>
      <c r="C989" s="4" t="s">
        <v>1336</v>
      </c>
      <c r="D989" s="4" t="s">
        <v>194</v>
      </c>
      <c r="E989" s="4" t="s">
        <v>1342</v>
      </c>
      <c r="F989" s="14">
        <v>0.5</v>
      </c>
      <c r="G989" s="40">
        <v>46054.0</v>
      </c>
    </row>
    <row r="990" ht="15.75" customHeight="1">
      <c r="A990" s="4" t="s">
        <v>314</v>
      </c>
      <c r="B990" s="4" t="s">
        <v>1335</v>
      </c>
      <c r="C990" s="4" t="s">
        <v>1336</v>
      </c>
      <c r="D990" s="4" t="s">
        <v>194</v>
      </c>
      <c r="E990" s="4" t="s">
        <v>1343</v>
      </c>
      <c r="F990" s="14">
        <v>0.5</v>
      </c>
      <c r="G990" s="40">
        <v>46054.0</v>
      </c>
    </row>
    <row r="991" ht="15.75" customHeight="1">
      <c r="A991" s="4" t="s">
        <v>314</v>
      </c>
      <c r="B991" s="4" t="s">
        <v>1335</v>
      </c>
      <c r="C991" s="4" t="s">
        <v>1336</v>
      </c>
      <c r="D991" s="4" t="s">
        <v>194</v>
      </c>
      <c r="E991" s="4" t="s">
        <v>1344</v>
      </c>
      <c r="F991" s="14">
        <v>0.5</v>
      </c>
      <c r="G991" s="40">
        <v>46054.0</v>
      </c>
    </row>
    <row r="992" ht="15.75" customHeight="1">
      <c r="A992" s="4" t="s">
        <v>314</v>
      </c>
      <c r="B992" s="4" t="s">
        <v>1335</v>
      </c>
      <c r="C992" s="4" t="s">
        <v>1336</v>
      </c>
      <c r="D992" s="4" t="s">
        <v>273</v>
      </c>
      <c r="E992" s="4" t="s">
        <v>1345</v>
      </c>
      <c r="F992" s="14">
        <v>1.0</v>
      </c>
      <c r="G992" s="40">
        <v>46054.0</v>
      </c>
    </row>
    <row r="993" ht="15.75" customHeight="1">
      <c r="A993" s="4" t="s">
        <v>314</v>
      </c>
      <c r="B993" s="4" t="s">
        <v>1335</v>
      </c>
      <c r="C993" s="4" t="s">
        <v>1336</v>
      </c>
      <c r="D993" s="4" t="s">
        <v>194</v>
      </c>
      <c r="E993" s="4" t="s">
        <v>1346</v>
      </c>
      <c r="F993" s="14">
        <v>0.5</v>
      </c>
      <c r="G993" s="40">
        <v>46054.0</v>
      </c>
    </row>
    <row r="994" ht="15.75" customHeight="1">
      <c r="A994" s="4" t="s">
        <v>314</v>
      </c>
      <c r="B994" s="4" t="s">
        <v>1335</v>
      </c>
      <c r="C994" s="4" t="s">
        <v>1336</v>
      </c>
      <c r="D994" s="4" t="s">
        <v>273</v>
      </c>
      <c r="E994" s="4" t="s">
        <v>1347</v>
      </c>
      <c r="F994" s="14">
        <v>1.0</v>
      </c>
      <c r="G994" s="40">
        <v>46054.0</v>
      </c>
    </row>
    <row r="995" ht="15.75" customHeight="1">
      <c r="A995" s="4" t="s">
        <v>314</v>
      </c>
      <c r="B995" s="4" t="s">
        <v>1348</v>
      </c>
      <c r="C995" s="4" t="s">
        <v>1349</v>
      </c>
      <c r="D995" s="4" t="s">
        <v>283</v>
      </c>
      <c r="E995" s="4" t="s">
        <v>1350</v>
      </c>
      <c r="F995" s="14">
        <v>1.5</v>
      </c>
      <c r="G995" s="40">
        <v>46054.0</v>
      </c>
    </row>
    <row r="996" ht="15.75" customHeight="1">
      <c r="A996" s="4" t="s">
        <v>314</v>
      </c>
      <c r="B996" s="4" t="s">
        <v>1348</v>
      </c>
      <c r="C996" s="4" t="s">
        <v>1349</v>
      </c>
      <c r="D996" s="4" t="s">
        <v>194</v>
      </c>
      <c r="E996" s="4" t="s">
        <v>1351</v>
      </c>
      <c r="F996" s="14">
        <v>0.5</v>
      </c>
      <c r="G996" s="40">
        <v>46054.0</v>
      </c>
    </row>
    <row r="997" ht="15.75" customHeight="1">
      <c r="A997" s="4" t="s">
        <v>314</v>
      </c>
      <c r="B997" s="4" t="s">
        <v>1348</v>
      </c>
      <c r="C997" s="4" t="s">
        <v>1349</v>
      </c>
      <c r="D997" s="4" t="s">
        <v>194</v>
      </c>
      <c r="E997" s="4" t="s">
        <v>1352</v>
      </c>
      <c r="F997" s="14">
        <v>0.5</v>
      </c>
      <c r="G997" s="40">
        <v>46054.0</v>
      </c>
    </row>
    <row r="998" ht="15.75" customHeight="1">
      <c r="A998" s="4" t="s">
        <v>314</v>
      </c>
      <c r="B998" s="4" t="s">
        <v>1348</v>
      </c>
      <c r="C998" s="4" t="s">
        <v>1349</v>
      </c>
      <c r="D998" s="4" t="s">
        <v>273</v>
      </c>
      <c r="E998" s="4" t="s">
        <v>1353</v>
      </c>
      <c r="F998" s="14">
        <v>1.0</v>
      </c>
      <c r="G998" s="40">
        <v>46054.0</v>
      </c>
    </row>
    <row r="999" ht="15.75" customHeight="1">
      <c r="A999" s="4" t="s">
        <v>314</v>
      </c>
      <c r="B999" s="4" t="s">
        <v>1348</v>
      </c>
      <c r="C999" s="4" t="s">
        <v>1349</v>
      </c>
      <c r="D999" s="4" t="s">
        <v>273</v>
      </c>
      <c r="E999" s="4" t="s">
        <v>1354</v>
      </c>
      <c r="F999" s="14">
        <v>1.0</v>
      </c>
      <c r="G999" s="40">
        <v>46054.0</v>
      </c>
    </row>
    <row r="1000" ht="15.75" customHeight="1">
      <c r="A1000" s="4" t="s">
        <v>314</v>
      </c>
      <c r="B1000" s="4" t="s">
        <v>1348</v>
      </c>
      <c r="C1000" s="4" t="s">
        <v>1349</v>
      </c>
      <c r="D1000" s="4" t="s">
        <v>273</v>
      </c>
      <c r="E1000" s="4" t="s">
        <v>1355</v>
      </c>
      <c r="F1000" s="14">
        <v>1.0</v>
      </c>
      <c r="G1000" s="40">
        <v>46054.0</v>
      </c>
    </row>
    <row r="1001" ht="15.75" customHeight="1">
      <c r="A1001" s="4" t="s">
        <v>314</v>
      </c>
      <c r="B1001" s="4" t="s">
        <v>1348</v>
      </c>
      <c r="C1001" s="4" t="s">
        <v>1349</v>
      </c>
      <c r="D1001" s="4" t="s">
        <v>273</v>
      </c>
      <c r="E1001" s="4" t="s">
        <v>1356</v>
      </c>
      <c r="F1001" s="14">
        <v>1.0</v>
      </c>
      <c r="G1001" s="40">
        <v>46054.0</v>
      </c>
    </row>
    <row r="1002" ht="15.75" customHeight="1">
      <c r="A1002" s="4" t="s">
        <v>38</v>
      </c>
      <c r="B1002" s="4" t="s">
        <v>143</v>
      </c>
      <c r="C1002" s="4" t="s">
        <v>144</v>
      </c>
      <c r="D1002" s="4" t="s">
        <v>283</v>
      </c>
      <c r="E1002" s="4" t="s">
        <v>1357</v>
      </c>
      <c r="F1002" s="14">
        <v>1.5</v>
      </c>
      <c r="G1002" s="40">
        <v>46235.0</v>
      </c>
    </row>
    <row r="1003" ht="15.75" customHeight="1">
      <c r="A1003" s="4" t="s">
        <v>38</v>
      </c>
      <c r="B1003" s="4" t="s">
        <v>143</v>
      </c>
      <c r="C1003" s="4" t="s">
        <v>144</v>
      </c>
      <c r="D1003" s="4" t="s">
        <v>273</v>
      </c>
      <c r="E1003" s="4" t="s">
        <v>1358</v>
      </c>
      <c r="F1003" s="14">
        <v>1.0</v>
      </c>
      <c r="G1003" s="40">
        <v>46235.0</v>
      </c>
    </row>
    <row r="1004" ht="15.75" customHeight="1">
      <c r="A1004" s="4" t="s">
        <v>38</v>
      </c>
      <c r="B1004" s="4" t="s">
        <v>143</v>
      </c>
      <c r="C1004" s="4" t="s">
        <v>144</v>
      </c>
      <c r="D1004" s="4" t="s">
        <v>194</v>
      </c>
      <c r="E1004" s="4" t="s">
        <v>1359</v>
      </c>
      <c r="F1004" s="14">
        <v>0.5</v>
      </c>
      <c r="G1004" s="40">
        <v>46235.0</v>
      </c>
    </row>
    <row r="1005" ht="15.75" customHeight="1">
      <c r="A1005" s="4" t="s">
        <v>38</v>
      </c>
      <c r="B1005" s="4" t="s">
        <v>143</v>
      </c>
      <c r="C1005" s="4" t="s">
        <v>144</v>
      </c>
      <c r="D1005" s="4" t="s">
        <v>283</v>
      </c>
      <c r="E1005" s="4" t="s">
        <v>1360</v>
      </c>
      <c r="F1005" s="14">
        <v>1.5</v>
      </c>
      <c r="G1005" s="40">
        <v>46235.0</v>
      </c>
    </row>
    <row r="1006" ht="15.75" customHeight="1">
      <c r="A1006" s="4" t="s">
        <v>38</v>
      </c>
      <c r="B1006" s="4" t="s">
        <v>143</v>
      </c>
      <c r="C1006" s="4" t="s">
        <v>144</v>
      </c>
      <c r="D1006" s="4" t="s">
        <v>283</v>
      </c>
      <c r="E1006" s="4" t="s">
        <v>1361</v>
      </c>
      <c r="F1006" s="14">
        <v>1.5</v>
      </c>
      <c r="G1006" s="40">
        <v>46235.0</v>
      </c>
    </row>
    <row r="1007" ht="15.75" customHeight="1">
      <c r="A1007" s="4" t="s">
        <v>38</v>
      </c>
      <c r="B1007" s="4" t="s">
        <v>140</v>
      </c>
      <c r="C1007" s="4" t="s">
        <v>141</v>
      </c>
      <c r="D1007" s="4" t="s">
        <v>283</v>
      </c>
      <c r="E1007" s="4" t="s">
        <v>1362</v>
      </c>
      <c r="F1007" s="14">
        <v>1.5</v>
      </c>
      <c r="G1007" s="40">
        <v>46204.0</v>
      </c>
    </row>
    <row r="1008" ht="15.75" customHeight="1">
      <c r="A1008" s="4" t="s">
        <v>38</v>
      </c>
      <c r="B1008" s="4" t="s">
        <v>140</v>
      </c>
      <c r="C1008" s="4" t="s">
        <v>141</v>
      </c>
      <c r="D1008" s="4" t="s">
        <v>273</v>
      </c>
      <c r="E1008" s="4" t="s">
        <v>1363</v>
      </c>
      <c r="F1008" s="14">
        <v>1.0</v>
      </c>
      <c r="G1008" s="40">
        <v>46204.0</v>
      </c>
    </row>
    <row r="1009" ht="15.75" customHeight="1">
      <c r="A1009" s="4" t="s">
        <v>38</v>
      </c>
      <c r="B1009" s="4" t="s">
        <v>140</v>
      </c>
      <c r="C1009" s="4" t="s">
        <v>141</v>
      </c>
      <c r="D1009" s="4" t="s">
        <v>194</v>
      </c>
      <c r="E1009" s="4" t="s">
        <v>1364</v>
      </c>
      <c r="F1009" s="14">
        <v>0.5</v>
      </c>
      <c r="G1009" s="40">
        <v>46204.0</v>
      </c>
    </row>
    <row r="1010" ht="15.75" customHeight="1">
      <c r="A1010" s="4" t="s">
        <v>38</v>
      </c>
      <c r="B1010" s="4" t="s">
        <v>140</v>
      </c>
      <c r="C1010" s="4" t="s">
        <v>141</v>
      </c>
      <c r="D1010" s="4" t="s">
        <v>283</v>
      </c>
      <c r="E1010" s="4" t="s">
        <v>1365</v>
      </c>
      <c r="F1010" s="14">
        <v>1.5</v>
      </c>
      <c r="G1010" s="40">
        <v>46235.0</v>
      </c>
    </row>
    <row r="1011" ht="15.75" customHeight="1">
      <c r="A1011" s="4" t="s">
        <v>38</v>
      </c>
      <c r="B1011" s="4" t="s">
        <v>137</v>
      </c>
      <c r="C1011" s="4" t="s">
        <v>138</v>
      </c>
      <c r="D1011" s="4" t="s">
        <v>273</v>
      </c>
      <c r="E1011" s="4" t="s">
        <v>1366</v>
      </c>
      <c r="F1011" s="14">
        <v>1.0</v>
      </c>
      <c r="G1011" s="40">
        <v>46204.0</v>
      </c>
    </row>
    <row r="1012" ht="15.75" customHeight="1">
      <c r="A1012" s="4" t="s">
        <v>38</v>
      </c>
      <c r="B1012" s="4" t="s">
        <v>137</v>
      </c>
      <c r="C1012" s="4" t="s">
        <v>138</v>
      </c>
      <c r="D1012" s="4" t="s">
        <v>273</v>
      </c>
      <c r="E1012" s="4" t="s">
        <v>1367</v>
      </c>
      <c r="F1012" s="14">
        <v>1.0</v>
      </c>
      <c r="G1012" s="40">
        <v>46204.0</v>
      </c>
    </row>
    <row r="1013" ht="15.75" customHeight="1">
      <c r="A1013" s="4" t="s">
        <v>38</v>
      </c>
      <c r="B1013" s="4" t="s">
        <v>137</v>
      </c>
      <c r="C1013" s="4" t="s">
        <v>138</v>
      </c>
      <c r="D1013" s="4" t="s">
        <v>363</v>
      </c>
      <c r="E1013" s="4" t="s">
        <v>1368</v>
      </c>
      <c r="F1013" s="14">
        <v>2.0</v>
      </c>
      <c r="G1013" s="40">
        <v>46204.0</v>
      </c>
    </row>
    <row r="1014" ht="15.75" customHeight="1">
      <c r="A1014" s="4" t="s">
        <v>38</v>
      </c>
      <c r="B1014" s="4" t="s">
        <v>131</v>
      </c>
      <c r="C1014" s="4" t="s">
        <v>134</v>
      </c>
      <c r="D1014" s="4" t="s">
        <v>283</v>
      </c>
      <c r="E1014" s="4" t="s">
        <v>1369</v>
      </c>
      <c r="F1014" s="14">
        <v>1.5</v>
      </c>
      <c r="G1014" s="40">
        <v>46204.0</v>
      </c>
    </row>
    <row r="1015" ht="15.75" customHeight="1">
      <c r="A1015" s="4" t="s">
        <v>38</v>
      </c>
      <c r="B1015" s="4" t="s">
        <v>131</v>
      </c>
      <c r="C1015" s="4" t="s">
        <v>134</v>
      </c>
      <c r="D1015" s="4" t="s">
        <v>194</v>
      </c>
      <c r="E1015" s="4" t="s">
        <v>1370</v>
      </c>
      <c r="F1015" s="14">
        <v>0.5</v>
      </c>
      <c r="G1015" s="40">
        <v>46204.0</v>
      </c>
    </row>
    <row r="1016" ht="15.75" customHeight="1">
      <c r="A1016" s="4" t="s">
        <v>38</v>
      </c>
      <c r="B1016" s="4" t="s">
        <v>131</v>
      </c>
      <c r="C1016" s="4" t="s">
        <v>134</v>
      </c>
      <c r="D1016" s="4" t="s">
        <v>273</v>
      </c>
      <c r="E1016" s="4" t="s">
        <v>1371</v>
      </c>
      <c r="F1016" s="14">
        <v>1.0</v>
      </c>
      <c r="G1016" s="40">
        <v>46204.0</v>
      </c>
    </row>
    <row r="1017" ht="15.75" customHeight="1">
      <c r="A1017" s="4" t="s">
        <v>38</v>
      </c>
      <c r="B1017" s="4" t="s">
        <v>131</v>
      </c>
      <c r="C1017" s="4" t="s">
        <v>134</v>
      </c>
      <c r="D1017" s="4" t="s">
        <v>420</v>
      </c>
      <c r="E1017" s="4" t="s">
        <v>1372</v>
      </c>
      <c r="F1017" s="14">
        <v>0.25</v>
      </c>
      <c r="G1017" s="40">
        <v>46204.0</v>
      </c>
    </row>
    <row r="1018" ht="15.75" customHeight="1">
      <c r="A1018" s="4" t="s">
        <v>38</v>
      </c>
      <c r="B1018" s="4" t="s">
        <v>131</v>
      </c>
      <c r="C1018" s="4" t="s">
        <v>134</v>
      </c>
      <c r="D1018" s="4" t="s">
        <v>273</v>
      </c>
      <c r="E1018" s="4" t="s">
        <v>1373</v>
      </c>
      <c r="F1018" s="14">
        <v>1.0</v>
      </c>
      <c r="G1018" s="40">
        <v>46235.0</v>
      </c>
    </row>
    <row r="1019" ht="15.75" customHeight="1">
      <c r="A1019" s="4" t="s">
        <v>38</v>
      </c>
      <c r="B1019" s="4" t="s">
        <v>126</v>
      </c>
      <c r="C1019" s="4" t="s">
        <v>128</v>
      </c>
      <c r="D1019" s="4" t="s">
        <v>194</v>
      </c>
      <c r="E1019" s="4" t="s">
        <v>1374</v>
      </c>
      <c r="F1019" s="14">
        <v>0.5</v>
      </c>
      <c r="G1019" s="40">
        <v>46204.0</v>
      </c>
    </row>
    <row r="1020" ht="15.75" customHeight="1">
      <c r="A1020" s="4" t="s">
        <v>38</v>
      </c>
      <c r="B1020" s="4" t="s">
        <v>126</v>
      </c>
      <c r="C1020" s="4" t="s">
        <v>128</v>
      </c>
      <c r="D1020" s="4" t="s">
        <v>273</v>
      </c>
      <c r="E1020" s="4" t="s">
        <v>1375</v>
      </c>
      <c r="F1020" s="14">
        <v>1.0</v>
      </c>
      <c r="G1020" s="40">
        <v>46204.0</v>
      </c>
    </row>
    <row r="1021" ht="15.75" customHeight="1">
      <c r="A1021" s="4" t="s">
        <v>38</v>
      </c>
      <c r="B1021" s="4" t="s">
        <v>126</v>
      </c>
      <c r="C1021" s="4" t="s">
        <v>128</v>
      </c>
      <c r="D1021" s="4" t="s">
        <v>194</v>
      </c>
      <c r="E1021" s="4" t="s">
        <v>1376</v>
      </c>
      <c r="F1021" s="14">
        <v>0.5</v>
      </c>
      <c r="G1021" s="40">
        <v>46204.0</v>
      </c>
    </row>
    <row r="1022" ht="15.75" customHeight="1">
      <c r="A1022" s="4" t="s">
        <v>38</v>
      </c>
      <c r="B1022" s="4" t="s">
        <v>126</v>
      </c>
      <c r="C1022" s="4" t="s">
        <v>128</v>
      </c>
      <c r="D1022" s="4" t="s">
        <v>273</v>
      </c>
      <c r="E1022" s="4" t="s">
        <v>1377</v>
      </c>
      <c r="F1022" s="14">
        <v>1.0</v>
      </c>
      <c r="G1022" s="40">
        <v>46204.0</v>
      </c>
    </row>
    <row r="1023" ht="15.75" customHeight="1">
      <c r="A1023" s="4" t="s">
        <v>38</v>
      </c>
      <c r="B1023" s="4" t="s">
        <v>126</v>
      </c>
      <c r="C1023" s="4" t="s">
        <v>128</v>
      </c>
      <c r="D1023" s="4" t="s">
        <v>273</v>
      </c>
      <c r="E1023" s="4" t="s">
        <v>1378</v>
      </c>
      <c r="F1023" s="14">
        <v>1.0</v>
      </c>
      <c r="G1023" s="40">
        <v>46204.0</v>
      </c>
    </row>
    <row r="1024" ht="15.75" customHeight="1">
      <c r="A1024" s="4" t="s">
        <v>38</v>
      </c>
      <c r="B1024" s="4" t="s">
        <v>126</v>
      </c>
      <c r="C1024" s="4" t="s">
        <v>128</v>
      </c>
      <c r="D1024" s="4" t="s">
        <v>363</v>
      </c>
      <c r="E1024" s="4" t="s">
        <v>1379</v>
      </c>
      <c r="F1024" s="14">
        <v>2.0</v>
      </c>
      <c r="G1024" s="40">
        <v>46204.0</v>
      </c>
    </row>
    <row r="1025" ht="15.75" customHeight="1">
      <c r="A1025" s="4" t="s">
        <v>38</v>
      </c>
      <c r="B1025" s="4" t="s">
        <v>126</v>
      </c>
      <c r="C1025" s="4" t="s">
        <v>128</v>
      </c>
      <c r="D1025" s="4" t="s">
        <v>561</v>
      </c>
      <c r="E1025" s="4" t="s">
        <v>1380</v>
      </c>
      <c r="F1025" s="14">
        <v>1.75</v>
      </c>
      <c r="G1025" s="40">
        <v>46204.0</v>
      </c>
    </row>
    <row r="1026" ht="15.75" customHeight="1">
      <c r="A1026" s="4" t="s">
        <v>38</v>
      </c>
      <c r="B1026" s="4" t="s">
        <v>126</v>
      </c>
      <c r="C1026" s="4" t="s">
        <v>128</v>
      </c>
      <c r="D1026" s="4" t="s">
        <v>194</v>
      </c>
      <c r="E1026" s="4" t="s">
        <v>1381</v>
      </c>
      <c r="F1026" s="14">
        <v>0.5</v>
      </c>
      <c r="G1026" s="40">
        <v>46204.0</v>
      </c>
    </row>
    <row r="1027" ht="15.75" customHeight="1">
      <c r="A1027" s="4" t="s">
        <v>38</v>
      </c>
      <c r="B1027" s="4" t="s">
        <v>126</v>
      </c>
      <c r="C1027" s="4" t="s">
        <v>128</v>
      </c>
      <c r="D1027" s="4" t="s">
        <v>286</v>
      </c>
      <c r="E1027" s="4" t="s">
        <v>1382</v>
      </c>
      <c r="F1027" s="14">
        <v>0.75</v>
      </c>
      <c r="G1027" s="40">
        <v>46204.0</v>
      </c>
    </row>
    <row r="1028" ht="15.75" customHeight="1">
      <c r="A1028" s="4" t="s">
        <v>38</v>
      </c>
      <c r="B1028" s="4" t="s">
        <v>126</v>
      </c>
      <c r="C1028" s="4" t="s">
        <v>128</v>
      </c>
      <c r="D1028" s="4" t="s">
        <v>363</v>
      </c>
      <c r="E1028" s="4" t="s">
        <v>1384</v>
      </c>
      <c r="F1028" s="14">
        <v>2.0</v>
      </c>
      <c r="G1028" s="40">
        <v>46204.0</v>
      </c>
    </row>
    <row r="1029" ht="15.75" customHeight="1">
      <c r="A1029" s="4" t="s">
        <v>38</v>
      </c>
      <c r="B1029" s="4" t="s">
        <v>126</v>
      </c>
      <c r="C1029" s="4" t="s">
        <v>128</v>
      </c>
      <c r="D1029" s="4" t="s">
        <v>283</v>
      </c>
      <c r="E1029" s="4" t="s">
        <v>1385</v>
      </c>
      <c r="F1029" s="14">
        <v>1.5</v>
      </c>
      <c r="G1029" s="40">
        <v>46204.0</v>
      </c>
    </row>
    <row r="1030" ht="15.75" customHeight="1">
      <c r="A1030" s="4" t="s">
        <v>38</v>
      </c>
      <c r="B1030" s="4" t="s">
        <v>126</v>
      </c>
      <c r="C1030" s="4" t="s">
        <v>128</v>
      </c>
      <c r="D1030" s="4" t="s">
        <v>826</v>
      </c>
      <c r="E1030" s="4" t="s">
        <v>1386</v>
      </c>
      <c r="F1030" s="14">
        <v>3.0</v>
      </c>
      <c r="G1030" s="40">
        <v>46204.0</v>
      </c>
    </row>
    <row r="1031" ht="15.75" customHeight="1">
      <c r="A1031" s="4" t="s">
        <v>38</v>
      </c>
      <c r="B1031" s="4" t="s">
        <v>126</v>
      </c>
      <c r="C1031" s="4" t="s">
        <v>128</v>
      </c>
      <c r="D1031" s="4" t="s">
        <v>194</v>
      </c>
      <c r="E1031" s="4" t="s">
        <v>1387</v>
      </c>
      <c r="F1031" s="14">
        <v>0.5</v>
      </c>
      <c r="G1031" s="40">
        <v>46204.0</v>
      </c>
    </row>
    <row r="1032" ht="15.75" customHeight="1">
      <c r="A1032" s="4" t="s">
        <v>38</v>
      </c>
      <c r="B1032" s="4" t="s">
        <v>126</v>
      </c>
      <c r="C1032" s="4" t="s">
        <v>128</v>
      </c>
      <c r="D1032" s="4" t="s">
        <v>273</v>
      </c>
      <c r="E1032" s="4" t="s">
        <v>1388</v>
      </c>
      <c r="F1032" s="14">
        <v>1.0</v>
      </c>
      <c r="G1032" s="40">
        <v>46204.0</v>
      </c>
    </row>
    <row r="1033" ht="15.75" customHeight="1">
      <c r="A1033" s="4" t="s">
        <v>38</v>
      </c>
      <c r="B1033" s="4" t="s">
        <v>126</v>
      </c>
      <c r="C1033" s="4" t="s">
        <v>128</v>
      </c>
      <c r="D1033" s="4" t="s">
        <v>283</v>
      </c>
      <c r="E1033" s="4" t="s">
        <v>1389</v>
      </c>
      <c r="F1033" s="14">
        <v>1.5</v>
      </c>
      <c r="G1033" s="40">
        <v>46235.0</v>
      </c>
    </row>
    <row r="1034" ht="15.75" customHeight="1">
      <c r="A1034" s="4" t="s">
        <v>38</v>
      </c>
      <c r="B1034" s="4" t="s">
        <v>126</v>
      </c>
      <c r="C1034" s="4" t="s">
        <v>128</v>
      </c>
      <c r="D1034" s="4" t="s">
        <v>194</v>
      </c>
      <c r="E1034" s="4" t="s">
        <v>1390</v>
      </c>
      <c r="F1034" s="14">
        <v>0.5</v>
      </c>
      <c r="G1034" s="40">
        <v>46235.0</v>
      </c>
    </row>
    <row r="1035" ht="15.75" customHeight="1">
      <c r="A1035" s="4" t="s">
        <v>38</v>
      </c>
      <c r="B1035" s="4" t="s">
        <v>126</v>
      </c>
      <c r="C1035" s="4" t="s">
        <v>128</v>
      </c>
      <c r="D1035" s="4" t="s">
        <v>273</v>
      </c>
      <c r="E1035" s="4" t="s">
        <v>1391</v>
      </c>
      <c r="F1035" s="14">
        <v>1.0</v>
      </c>
      <c r="G1035" s="40">
        <v>46235.0</v>
      </c>
    </row>
    <row r="1036" ht="15.75" customHeight="1">
      <c r="A1036" s="4" t="s">
        <v>38</v>
      </c>
      <c r="B1036" s="4" t="s">
        <v>1392</v>
      </c>
      <c r="C1036" s="4" t="s">
        <v>1393</v>
      </c>
      <c r="D1036" s="4" t="s">
        <v>194</v>
      </c>
      <c r="E1036" s="4" t="s">
        <v>1394</v>
      </c>
      <c r="F1036" s="14">
        <v>0.5</v>
      </c>
      <c r="G1036" s="40">
        <v>46174.0</v>
      </c>
    </row>
    <row r="1037" ht="15.75" customHeight="1">
      <c r="A1037" s="4" t="s">
        <v>38</v>
      </c>
      <c r="B1037" s="4" t="s">
        <v>1392</v>
      </c>
      <c r="C1037" s="4" t="s">
        <v>1393</v>
      </c>
      <c r="D1037" s="4" t="s">
        <v>273</v>
      </c>
      <c r="E1037" s="4" t="s">
        <v>1395</v>
      </c>
      <c r="F1037" s="14">
        <v>1.0</v>
      </c>
      <c r="G1037" s="40">
        <v>46174.0</v>
      </c>
    </row>
    <row r="1038" ht="15.75" customHeight="1">
      <c r="A1038" s="4" t="s">
        <v>38</v>
      </c>
      <c r="B1038" s="4" t="s">
        <v>1392</v>
      </c>
      <c r="C1038" s="4" t="s">
        <v>1393</v>
      </c>
      <c r="D1038" s="4" t="s">
        <v>194</v>
      </c>
      <c r="E1038" s="4" t="s">
        <v>1396</v>
      </c>
      <c r="F1038" s="14">
        <v>0.5</v>
      </c>
      <c r="G1038" s="40">
        <v>46174.0</v>
      </c>
    </row>
    <row r="1039" ht="15.75" customHeight="1">
      <c r="A1039" s="4" t="s">
        <v>38</v>
      </c>
      <c r="B1039" s="4" t="s">
        <v>1397</v>
      </c>
      <c r="C1039" s="4" t="s">
        <v>1398</v>
      </c>
      <c r="D1039" s="4" t="s">
        <v>194</v>
      </c>
      <c r="E1039" s="4" t="s">
        <v>1399</v>
      </c>
      <c r="F1039" s="14">
        <v>0.5</v>
      </c>
      <c r="G1039" s="40">
        <v>46143.0</v>
      </c>
    </row>
    <row r="1040" ht="15.75" customHeight="1">
      <c r="A1040" s="4" t="s">
        <v>38</v>
      </c>
      <c r="B1040" s="4" t="s">
        <v>120</v>
      </c>
      <c r="C1040" s="4" t="s">
        <v>121</v>
      </c>
      <c r="D1040" s="4" t="s">
        <v>273</v>
      </c>
      <c r="E1040" s="4" t="s">
        <v>1400</v>
      </c>
      <c r="F1040" s="14">
        <v>1.0</v>
      </c>
      <c r="G1040" s="40">
        <v>46143.0</v>
      </c>
    </row>
    <row r="1041" ht="15.75" customHeight="1">
      <c r="A1041" s="4" t="s">
        <v>38</v>
      </c>
      <c r="B1041" s="4" t="s">
        <v>120</v>
      </c>
      <c r="C1041" s="4" t="s">
        <v>121</v>
      </c>
      <c r="D1041" s="4" t="s">
        <v>194</v>
      </c>
      <c r="E1041" s="4" t="s">
        <v>1401</v>
      </c>
      <c r="F1041" s="14">
        <v>0.5</v>
      </c>
      <c r="G1041" s="40">
        <v>46143.0</v>
      </c>
    </row>
    <row r="1042" ht="15.75" customHeight="1">
      <c r="A1042" s="4" t="s">
        <v>38</v>
      </c>
      <c r="B1042" s="4" t="s">
        <v>120</v>
      </c>
      <c r="C1042" s="4" t="s">
        <v>121</v>
      </c>
      <c r="D1042" s="4" t="s">
        <v>273</v>
      </c>
      <c r="E1042" s="4" t="s">
        <v>1402</v>
      </c>
      <c r="F1042" s="14">
        <v>1.0</v>
      </c>
      <c r="G1042" s="40">
        <v>46143.0</v>
      </c>
    </row>
    <row r="1043" ht="15.75" customHeight="1">
      <c r="A1043" s="4" t="s">
        <v>38</v>
      </c>
      <c r="B1043" s="4" t="s">
        <v>120</v>
      </c>
      <c r="C1043" s="4" t="s">
        <v>121</v>
      </c>
      <c r="D1043" s="4" t="s">
        <v>273</v>
      </c>
      <c r="E1043" s="4" t="s">
        <v>1403</v>
      </c>
      <c r="F1043" s="14">
        <v>1.0</v>
      </c>
      <c r="G1043" s="40">
        <v>46204.0</v>
      </c>
    </row>
    <row r="1044" ht="15.75" customHeight="1">
      <c r="A1044" s="4" t="s">
        <v>38</v>
      </c>
      <c r="B1044" s="4" t="s">
        <v>115</v>
      </c>
      <c r="C1044" s="4" t="s">
        <v>117</v>
      </c>
      <c r="D1044" s="4" t="s">
        <v>273</v>
      </c>
      <c r="E1044" s="4" t="s">
        <v>1404</v>
      </c>
      <c r="F1044" s="14">
        <v>1.0</v>
      </c>
      <c r="G1044" s="40">
        <v>46143.0</v>
      </c>
    </row>
    <row r="1045" ht="15.75" customHeight="1">
      <c r="A1045" s="4" t="s">
        <v>38</v>
      </c>
      <c r="B1045" s="4" t="s">
        <v>115</v>
      </c>
      <c r="C1045" s="4" t="s">
        <v>117</v>
      </c>
      <c r="D1045" s="4" t="s">
        <v>273</v>
      </c>
      <c r="E1045" s="4" t="s">
        <v>1405</v>
      </c>
      <c r="F1045" s="14">
        <v>1.0</v>
      </c>
      <c r="G1045" s="40">
        <v>46143.0</v>
      </c>
    </row>
    <row r="1046" ht="15.75" customHeight="1">
      <c r="A1046" s="4" t="s">
        <v>38</v>
      </c>
      <c r="B1046" s="4" t="s">
        <v>115</v>
      </c>
      <c r="C1046" s="4" t="s">
        <v>117</v>
      </c>
      <c r="D1046" s="4" t="s">
        <v>826</v>
      </c>
      <c r="E1046" s="4" t="s">
        <v>1406</v>
      </c>
      <c r="F1046" s="14">
        <v>3.0</v>
      </c>
      <c r="G1046" s="40">
        <v>46143.0</v>
      </c>
    </row>
    <row r="1047" ht="15.75" customHeight="1">
      <c r="A1047" s="4" t="s">
        <v>38</v>
      </c>
      <c r="B1047" s="4" t="s">
        <v>115</v>
      </c>
      <c r="C1047" s="4" t="s">
        <v>117</v>
      </c>
      <c r="D1047" s="4" t="s">
        <v>194</v>
      </c>
      <c r="E1047" s="4" t="s">
        <v>1407</v>
      </c>
      <c r="F1047" s="14">
        <v>0.5</v>
      </c>
      <c r="G1047" s="40">
        <v>46143.0</v>
      </c>
    </row>
    <row r="1048" ht="15.75" customHeight="1">
      <c r="A1048" s="4" t="s">
        <v>38</v>
      </c>
      <c r="B1048" s="4" t="s">
        <v>115</v>
      </c>
      <c r="C1048" s="4" t="s">
        <v>117</v>
      </c>
      <c r="D1048" s="4" t="s">
        <v>273</v>
      </c>
      <c r="E1048" s="4" t="s">
        <v>1408</v>
      </c>
      <c r="F1048" s="14">
        <v>1.0</v>
      </c>
      <c r="G1048" s="40">
        <v>46143.0</v>
      </c>
    </row>
    <row r="1049" ht="15.75" customHeight="1">
      <c r="A1049" s="4" t="s">
        <v>38</v>
      </c>
      <c r="B1049" s="4" t="s">
        <v>115</v>
      </c>
      <c r="C1049" s="4" t="s">
        <v>117</v>
      </c>
      <c r="D1049" s="4" t="s">
        <v>194</v>
      </c>
      <c r="E1049" s="4" t="s">
        <v>1409</v>
      </c>
      <c r="F1049" s="14">
        <v>0.5</v>
      </c>
      <c r="G1049" s="40">
        <v>46143.0</v>
      </c>
    </row>
    <row r="1050" ht="15.75" customHeight="1">
      <c r="A1050" s="4" t="s">
        <v>38</v>
      </c>
      <c r="B1050" s="4" t="s">
        <v>115</v>
      </c>
      <c r="C1050" s="4" t="s">
        <v>117</v>
      </c>
      <c r="D1050" s="4" t="s">
        <v>273</v>
      </c>
      <c r="E1050" s="4" t="s">
        <v>1410</v>
      </c>
      <c r="F1050" s="14">
        <v>1.0</v>
      </c>
      <c r="G1050" s="40">
        <v>46174.0</v>
      </c>
    </row>
    <row r="1051" ht="15.75" customHeight="1">
      <c r="A1051" s="4" t="s">
        <v>38</v>
      </c>
      <c r="B1051" s="4" t="s">
        <v>115</v>
      </c>
      <c r="C1051" s="4" t="s">
        <v>117</v>
      </c>
      <c r="D1051" s="4" t="s">
        <v>273</v>
      </c>
      <c r="E1051" s="4" t="s">
        <v>1411</v>
      </c>
      <c r="F1051" s="14">
        <v>1.0</v>
      </c>
      <c r="G1051" s="40">
        <v>46174.0</v>
      </c>
    </row>
    <row r="1052" ht="15.75" customHeight="1">
      <c r="A1052" s="4" t="s">
        <v>38</v>
      </c>
      <c r="B1052" s="4" t="s">
        <v>115</v>
      </c>
      <c r="C1052" s="4" t="s">
        <v>117</v>
      </c>
      <c r="D1052" s="4" t="s">
        <v>273</v>
      </c>
      <c r="E1052" s="4" t="s">
        <v>1412</v>
      </c>
      <c r="F1052" s="14">
        <v>1.0</v>
      </c>
      <c r="G1052" s="40">
        <v>46174.0</v>
      </c>
    </row>
    <row r="1053" ht="15.75" customHeight="1">
      <c r="A1053" s="4" t="s">
        <v>38</v>
      </c>
      <c r="B1053" s="4" t="s">
        <v>115</v>
      </c>
      <c r="C1053" s="4" t="s">
        <v>117</v>
      </c>
      <c r="D1053" s="4" t="s">
        <v>194</v>
      </c>
      <c r="E1053" s="4" t="s">
        <v>1413</v>
      </c>
      <c r="F1053" s="14">
        <v>0.5</v>
      </c>
      <c r="G1053" s="40">
        <v>46174.0</v>
      </c>
    </row>
    <row r="1054" ht="15.75" customHeight="1">
      <c r="A1054" s="4" t="s">
        <v>38</v>
      </c>
      <c r="B1054" s="4" t="s">
        <v>115</v>
      </c>
      <c r="C1054" s="4" t="s">
        <v>117</v>
      </c>
      <c r="D1054" s="4" t="s">
        <v>273</v>
      </c>
      <c r="E1054" s="4" t="s">
        <v>1414</v>
      </c>
      <c r="F1054" s="14">
        <v>1.0</v>
      </c>
      <c r="G1054" s="40">
        <v>46174.0</v>
      </c>
    </row>
    <row r="1055" ht="15.75" customHeight="1">
      <c r="A1055" s="4" t="s">
        <v>38</v>
      </c>
      <c r="B1055" s="4" t="s">
        <v>115</v>
      </c>
      <c r="C1055" s="4" t="s">
        <v>117</v>
      </c>
      <c r="D1055" s="4" t="s">
        <v>273</v>
      </c>
      <c r="E1055" s="4" t="s">
        <v>1415</v>
      </c>
      <c r="F1055" s="14">
        <v>1.0</v>
      </c>
      <c r="G1055" s="40">
        <v>46174.0</v>
      </c>
    </row>
    <row r="1056" ht="15.75" customHeight="1">
      <c r="A1056" s="4" t="s">
        <v>38</v>
      </c>
      <c r="B1056" s="4" t="s">
        <v>115</v>
      </c>
      <c r="C1056" s="4" t="s">
        <v>117</v>
      </c>
      <c r="D1056" s="4" t="s">
        <v>273</v>
      </c>
      <c r="E1056" s="4" t="s">
        <v>1416</v>
      </c>
      <c r="F1056" s="14">
        <v>1.0</v>
      </c>
      <c r="G1056" s="40">
        <v>46204.0</v>
      </c>
    </row>
    <row r="1057" ht="15.75" customHeight="1">
      <c r="A1057" s="4" t="s">
        <v>38</v>
      </c>
      <c r="B1057" s="4" t="s">
        <v>115</v>
      </c>
      <c r="C1057" s="4" t="s">
        <v>117</v>
      </c>
      <c r="D1057" s="4" t="s">
        <v>363</v>
      </c>
      <c r="E1057" s="4" t="s">
        <v>1417</v>
      </c>
      <c r="F1057" s="14">
        <v>2.0</v>
      </c>
      <c r="G1057" s="40">
        <v>46204.0</v>
      </c>
    </row>
    <row r="1058" ht="15.75" customHeight="1">
      <c r="A1058" s="4" t="s">
        <v>38</v>
      </c>
      <c r="B1058" s="4" t="s">
        <v>115</v>
      </c>
      <c r="C1058" s="4" t="s">
        <v>117</v>
      </c>
      <c r="D1058" s="4" t="s">
        <v>273</v>
      </c>
      <c r="E1058" s="4" t="s">
        <v>1418</v>
      </c>
      <c r="F1058" s="14">
        <v>1.0</v>
      </c>
      <c r="G1058" s="40">
        <v>46204.0</v>
      </c>
    </row>
    <row r="1059" ht="15.75" customHeight="1">
      <c r="A1059" s="4" t="s">
        <v>38</v>
      </c>
      <c r="B1059" s="4" t="s">
        <v>115</v>
      </c>
      <c r="C1059" s="4" t="s">
        <v>117</v>
      </c>
      <c r="D1059" s="4" t="s">
        <v>194</v>
      </c>
      <c r="E1059" s="4" t="s">
        <v>1419</v>
      </c>
      <c r="F1059" s="14">
        <v>0.5</v>
      </c>
      <c r="G1059" s="40">
        <v>46204.0</v>
      </c>
    </row>
    <row r="1060" ht="15.75" customHeight="1">
      <c r="A1060" s="4" t="s">
        <v>38</v>
      </c>
      <c r="B1060" s="4" t="s">
        <v>115</v>
      </c>
      <c r="C1060" s="4" t="s">
        <v>117</v>
      </c>
      <c r="D1060" s="4" t="s">
        <v>194</v>
      </c>
      <c r="E1060" s="4" t="s">
        <v>1420</v>
      </c>
      <c r="F1060" s="14">
        <v>0.5</v>
      </c>
      <c r="G1060" s="40">
        <v>46204.0</v>
      </c>
    </row>
    <row r="1061" ht="15.75" customHeight="1">
      <c r="A1061" s="4" t="s">
        <v>38</v>
      </c>
      <c r="B1061" s="4" t="s">
        <v>115</v>
      </c>
      <c r="C1061" s="4" t="s">
        <v>117</v>
      </c>
      <c r="D1061" s="4" t="s">
        <v>283</v>
      </c>
      <c r="E1061" s="4" t="s">
        <v>1421</v>
      </c>
      <c r="F1061" s="14">
        <v>1.5</v>
      </c>
      <c r="G1061" s="40">
        <v>46204.0</v>
      </c>
    </row>
    <row r="1062" ht="15.75" customHeight="1">
      <c r="A1062" s="4" t="s">
        <v>38</v>
      </c>
      <c r="B1062" s="4" t="s">
        <v>115</v>
      </c>
      <c r="C1062" s="4" t="s">
        <v>117</v>
      </c>
      <c r="D1062" s="4" t="s">
        <v>441</v>
      </c>
      <c r="E1062" s="4" t="s">
        <v>1422</v>
      </c>
      <c r="F1062" s="14">
        <v>1.25</v>
      </c>
      <c r="G1062" s="40">
        <v>46235.0</v>
      </c>
    </row>
    <row r="1063" ht="15.75" customHeight="1">
      <c r="A1063" s="4" t="s">
        <v>38</v>
      </c>
      <c r="B1063" s="4" t="s">
        <v>1423</v>
      </c>
      <c r="C1063" s="4" t="s">
        <v>1424</v>
      </c>
      <c r="D1063" s="4" t="s">
        <v>194</v>
      </c>
      <c r="E1063" s="4" t="s">
        <v>1425</v>
      </c>
      <c r="F1063" s="14">
        <v>0.5</v>
      </c>
      <c r="G1063" s="40">
        <v>46143.0</v>
      </c>
    </row>
    <row r="1064" ht="15.75" customHeight="1">
      <c r="A1064" s="4" t="s">
        <v>38</v>
      </c>
      <c r="B1064" s="4" t="s">
        <v>1423</v>
      </c>
      <c r="C1064" s="4" t="s">
        <v>1424</v>
      </c>
      <c r="D1064" s="4" t="s">
        <v>194</v>
      </c>
      <c r="E1064" s="4" t="s">
        <v>1426</v>
      </c>
      <c r="F1064" s="14">
        <v>0.5</v>
      </c>
      <c r="G1064" s="40">
        <v>46143.0</v>
      </c>
    </row>
    <row r="1065" ht="15.75" customHeight="1">
      <c r="A1065" s="4" t="s">
        <v>38</v>
      </c>
      <c r="B1065" s="4" t="s">
        <v>106</v>
      </c>
      <c r="C1065" s="4" t="s">
        <v>109</v>
      </c>
      <c r="D1065" s="4" t="s">
        <v>363</v>
      </c>
      <c r="E1065" s="4" t="s">
        <v>1427</v>
      </c>
      <c r="F1065" s="14">
        <v>2.0</v>
      </c>
      <c r="G1065" s="40">
        <v>46113.0</v>
      </c>
    </row>
    <row r="1066" ht="15.75" customHeight="1">
      <c r="A1066" s="4" t="s">
        <v>38</v>
      </c>
      <c r="B1066" s="4" t="s">
        <v>106</v>
      </c>
      <c r="C1066" s="4" t="s">
        <v>109</v>
      </c>
      <c r="D1066" s="4" t="s">
        <v>273</v>
      </c>
      <c r="E1066" s="4" t="s">
        <v>1428</v>
      </c>
      <c r="F1066" s="14">
        <v>1.0</v>
      </c>
      <c r="G1066" s="40">
        <v>46113.0</v>
      </c>
    </row>
    <row r="1067" ht="15.75" customHeight="1">
      <c r="A1067" s="4" t="s">
        <v>38</v>
      </c>
      <c r="B1067" s="4" t="s">
        <v>106</v>
      </c>
      <c r="C1067" s="4" t="s">
        <v>109</v>
      </c>
      <c r="D1067" s="4" t="s">
        <v>273</v>
      </c>
      <c r="E1067" s="4" t="s">
        <v>1429</v>
      </c>
      <c r="F1067" s="14">
        <v>1.0</v>
      </c>
      <c r="G1067" s="40">
        <v>46113.0</v>
      </c>
    </row>
    <row r="1068" ht="15.75" customHeight="1">
      <c r="A1068" s="4" t="s">
        <v>38</v>
      </c>
      <c r="B1068" s="4" t="s">
        <v>106</v>
      </c>
      <c r="C1068" s="4" t="s">
        <v>109</v>
      </c>
      <c r="D1068" s="4" t="s">
        <v>273</v>
      </c>
      <c r="E1068" s="4" t="s">
        <v>1430</v>
      </c>
      <c r="F1068" s="14">
        <v>1.0</v>
      </c>
      <c r="G1068" s="40">
        <v>46113.0</v>
      </c>
    </row>
    <row r="1069" ht="15.75" customHeight="1">
      <c r="A1069" s="4" t="s">
        <v>38</v>
      </c>
      <c r="B1069" s="4" t="s">
        <v>106</v>
      </c>
      <c r="C1069" s="4" t="s">
        <v>109</v>
      </c>
      <c r="D1069" s="4" t="s">
        <v>273</v>
      </c>
      <c r="E1069" s="4" t="s">
        <v>1431</v>
      </c>
      <c r="F1069" s="14">
        <v>1.0</v>
      </c>
      <c r="G1069" s="40">
        <v>46113.0</v>
      </c>
    </row>
    <row r="1070" ht="15.75" customHeight="1">
      <c r="A1070" s="4" t="s">
        <v>38</v>
      </c>
      <c r="B1070" s="4" t="s">
        <v>106</v>
      </c>
      <c r="C1070" s="4" t="s">
        <v>109</v>
      </c>
      <c r="D1070" s="4" t="s">
        <v>194</v>
      </c>
      <c r="E1070" s="4" t="s">
        <v>1432</v>
      </c>
      <c r="F1070" s="14">
        <v>0.5</v>
      </c>
      <c r="G1070" s="40">
        <v>46113.0</v>
      </c>
    </row>
    <row r="1071" ht="15.75" customHeight="1">
      <c r="A1071" s="4" t="s">
        <v>38</v>
      </c>
      <c r="B1071" s="4" t="s">
        <v>106</v>
      </c>
      <c r="C1071" s="4" t="s">
        <v>109</v>
      </c>
      <c r="D1071" s="4" t="s">
        <v>273</v>
      </c>
      <c r="E1071" s="4" t="s">
        <v>1433</v>
      </c>
      <c r="F1071" s="14">
        <v>1.0</v>
      </c>
      <c r="G1071" s="40">
        <v>46113.0</v>
      </c>
    </row>
    <row r="1072" ht="15.75" customHeight="1">
      <c r="A1072" s="4" t="s">
        <v>38</v>
      </c>
      <c r="B1072" s="4" t="s">
        <v>106</v>
      </c>
      <c r="C1072" s="4" t="s">
        <v>109</v>
      </c>
      <c r="D1072" s="4" t="s">
        <v>273</v>
      </c>
      <c r="E1072" s="4" t="s">
        <v>1434</v>
      </c>
      <c r="F1072" s="14">
        <v>1.0</v>
      </c>
      <c r="G1072" s="40">
        <v>46143.0</v>
      </c>
    </row>
    <row r="1073" ht="15.75" customHeight="1">
      <c r="A1073" s="4" t="s">
        <v>38</v>
      </c>
      <c r="B1073" s="4" t="s">
        <v>106</v>
      </c>
      <c r="C1073" s="4" t="s">
        <v>109</v>
      </c>
      <c r="D1073" s="4" t="s">
        <v>283</v>
      </c>
      <c r="E1073" s="4" t="s">
        <v>1435</v>
      </c>
      <c r="F1073" s="14">
        <v>1.5</v>
      </c>
      <c r="G1073" s="40">
        <v>46174.0</v>
      </c>
    </row>
    <row r="1074" ht="15.75" customHeight="1">
      <c r="A1074" s="4" t="s">
        <v>38</v>
      </c>
      <c r="B1074" s="4" t="s">
        <v>106</v>
      </c>
      <c r="C1074" s="4" t="s">
        <v>109</v>
      </c>
      <c r="D1074" s="4" t="s">
        <v>283</v>
      </c>
      <c r="E1074" s="4" t="s">
        <v>1436</v>
      </c>
      <c r="F1074" s="14">
        <v>1.5</v>
      </c>
      <c r="G1074" s="40">
        <v>46204.0</v>
      </c>
    </row>
    <row r="1075" ht="15.75" customHeight="1">
      <c r="A1075" s="4" t="s">
        <v>38</v>
      </c>
      <c r="B1075" s="4" t="s">
        <v>106</v>
      </c>
      <c r="C1075" s="4" t="s">
        <v>109</v>
      </c>
      <c r="D1075" s="4" t="s">
        <v>194</v>
      </c>
      <c r="E1075" s="4" t="s">
        <v>1437</v>
      </c>
      <c r="F1075" s="14">
        <v>0.5</v>
      </c>
      <c r="G1075" s="40">
        <v>46204.0</v>
      </c>
    </row>
    <row r="1076" ht="15.75" customHeight="1">
      <c r="A1076" s="4" t="s">
        <v>38</v>
      </c>
      <c r="B1076" s="4" t="s">
        <v>84</v>
      </c>
      <c r="C1076" s="4" t="s">
        <v>90</v>
      </c>
      <c r="D1076" s="4" t="s">
        <v>273</v>
      </c>
      <c r="E1076" s="4" t="s">
        <v>1073</v>
      </c>
      <c r="F1076" s="14">
        <v>1.0</v>
      </c>
      <c r="G1076" s="40">
        <v>46113.0</v>
      </c>
    </row>
    <row r="1077" ht="15.75" customHeight="1">
      <c r="A1077" s="4" t="s">
        <v>38</v>
      </c>
      <c r="B1077" s="4" t="s">
        <v>78</v>
      </c>
      <c r="C1077" s="4" t="s">
        <v>80</v>
      </c>
      <c r="D1077" s="4" t="s">
        <v>194</v>
      </c>
      <c r="E1077" s="4" t="s">
        <v>1438</v>
      </c>
      <c r="F1077" s="14">
        <v>0.5</v>
      </c>
      <c r="G1077" s="40">
        <v>46113.0</v>
      </c>
    </row>
    <row r="1078" ht="15.75" customHeight="1">
      <c r="A1078" s="4" t="s">
        <v>38</v>
      </c>
      <c r="B1078" s="4" t="s">
        <v>78</v>
      </c>
      <c r="C1078" s="4" t="s">
        <v>80</v>
      </c>
      <c r="D1078" s="4" t="s">
        <v>286</v>
      </c>
      <c r="E1078" s="4" t="s">
        <v>1439</v>
      </c>
      <c r="F1078" s="14">
        <v>0.75</v>
      </c>
      <c r="G1078" s="40">
        <v>46113.0</v>
      </c>
    </row>
    <row r="1079" ht="15.75" customHeight="1">
      <c r="A1079" s="4" t="s">
        <v>38</v>
      </c>
      <c r="B1079" s="4" t="s">
        <v>67</v>
      </c>
      <c r="C1079" s="4" t="s">
        <v>69</v>
      </c>
      <c r="D1079" s="4" t="s">
        <v>273</v>
      </c>
      <c r="E1079" s="4" t="s">
        <v>1440</v>
      </c>
      <c r="F1079" s="14">
        <v>1.0</v>
      </c>
      <c r="G1079" s="40">
        <v>46143.0</v>
      </c>
    </row>
    <row r="1080" ht="15.75" customHeight="1">
      <c r="A1080" s="4" t="s">
        <v>38</v>
      </c>
      <c r="B1080" s="4" t="s">
        <v>67</v>
      </c>
      <c r="C1080" s="4" t="s">
        <v>69</v>
      </c>
      <c r="D1080" s="4" t="s">
        <v>273</v>
      </c>
      <c r="E1080" s="4" t="s">
        <v>1441</v>
      </c>
      <c r="F1080" s="14">
        <v>1.0</v>
      </c>
      <c r="G1080" s="40">
        <v>46174.0</v>
      </c>
    </row>
    <row r="1081" ht="15.75" customHeight="1">
      <c r="A1081" s="4" t="s">
        <v>38</v>
      </c>
      <c r="B1081" s="4" t="s">
        <v>63</v>
      </c>
      <c r="C1081" s="4" t="s">
        <v>64</v>
      </c>
      <c r="D1081" s="4" t="s">
        <v>194</v>
      </c>
      <c r="E1081" s="4" t="s">
        <v>1442</v>
      </c>
      <c r="F1081" s="14">
        <v>0.5</v>
      </c>
      <c r="G1081" s="40">
        <v>46113.0</v>
      </c>
    </row>
    <row r="1082" ht="15.75" customHeight="1">
      <c r="A1082" s="4" t="s">
        <v>38</v>
      </c>
      <c r="B1082" s="4" t="s">
        <v>63</v>
      </c>
      <c r="C1082" s="4" t="s">
        <v>64</v>
      </c>
      <c r="D1082" s="4" t="s">
        <v>273</v>
      </c>
      <c r="E1082" s="4" t="s">
        <v>1443</v>
      </c>
      <c r="F1082" s="14">
        <v>1.0</v>
      </c>
      <c r="G1082" s="40">
        <v>46113.0</v>
      </c>
    </row>
    <row r="1083" ht="15.75" customHeight="1">
      <c r="A1083" s="4" t="s">
        <v>38</v>
      </c>
      <c r="B1083" s="4" t="s">
        <v>63</v>
      </c>
      <c r="C1083" s="4" t="s">
        <v>64</v>
      </c>
      <c r="D1083" s="4" t="s">
        <v>283</v>
      </c>
      <c r="E1083" s="4" t="s">
        <v>1444</v>
      </c>
      <c r="F1083" s="14">
        <v>1.5</v>
      </c>
      <c r="G1083" s="40">
        <v>46113.0</v>
      </c>
    </row>
    <row r="1084" ht="15.75" customHeight="1">
      <c r="A1084" s="4" t="s">
        <v>38</v>
      </c>
      <c r="B1084" s="4" t="s">
        <v>63</v>
      </c>
      <c r="C1084" s="4" t="s">
        <v>64</v>
      </c>
      <c r="D1084" s="4" t="s">
        <v>422</v>
      </c>
      <c r="E1084" s="4" t="s">
        <v>1445</v>
      </c>
      <c r="F1084" s="14">
        <v>2.5</v>
      </c>
      <c r="G1084" s="40">
        <v>46113.0</v>
      </c>
    </row>
    <row r="1085" ht="15.75" customHeight="1">
      <c r="A1085" s="4" t="s">
        <v>38</v>
      </c>
      <c r="B1085" s="4" t="s">
        <v>63</v>
      </c>
      <c r="C1085" s="4" t="s">
        <v>64</v>
      </c>
      <c r="D1085" s="4" t="s">
        <v>363</v>
      </c>
      <c r="E1085" s="4" t="s">
        <v>1446</v>
      </c>
      <c r="F1085" s="14">
        <v>2.0</v>
      </c>
      <c r="G1085" s="40">
        <v>46113.0</v>
      </c>
    </row>
    <row r="1086" ht="15.75" customHeight="1">
      <c r="A1086" s="4" t="s">
        <v>38</v>
      </c>
      <c r="B1086" s="4" t="s">
        <v>63</v>
      </c>
      <c r="C1086" s="4" t="s">
        <v>64</v>
      </c>
      <c r="D1086" s="4" t="s">
        <v>194</v>
      </c>
      <c r="E1086" s="4" t="s">
        <v>1447</v>
      </c>
      <c r="F1086" s="14">
        <v>0.5</v>
      </c>
      <c r="G1086" s="40">
        <v>46113.0</v>
      </c>
    </row>
    <row r="1087" ht="15.75" customHeight="1">
      <c r="A1087" s="4" t="s">
        <v>38</v>
      </c>
      <c r="B1087" s="4" t="s">
        <v>63</v>
      </c>
      <c r="C1087" s="4" t="s">
        <v>64</v>
      </c>
      <c r="D1087" s="4" t="s">
        <v>273</v>
      </c>
      <c r="E1087" s="4" t="s">
        <v>1448</v>
      </c>
      <c r="F1087" s="14">
        <v>1.0</v>
      </c>
      <c r="G1087" s="40">
        <v>46113.0</v>
      </c>
    </row>
    <row r="1088" ht="15.75" customHeight="1">
      <c r="A1088" s="4" t="s">
        <v>38</v>
      </c>
      <c r="B1088" s="4" t="s">
        <v>63</v>
      </c>
      <c r="C1088" s="4" t="s">
        <v>64</v>
      </c>
      <c r="D1088" s="4" t="s">
        <v>273</v>
      </c>
      <c r="E1088" s="4" t="s">
        <v>1449</v>
      </c>
      <c r="F1088" s="14">
        <v>1.0</v>
      </c>
      <c r="G1088" s="40">
        <v>46113.0</v>
      </c>
    </row>
    <row r="1089" ht="15.75" customHeight="1">
      <c r="A1089" s="4" t="s">
        <v>38</v>
      </c>
      <c r="B1089" s="4" t="s">
        <v>63</v>
      </c>
      <c r="C1089" s="4" t="s">
        <v>64</v>
      </c>
      <c r="D1089" s="4" t="s">
        <v>194</v>
      </c>
      <c r="E1089" s="4" t="s">
        <v>1450</v>
      </c>
      <c r="F1089" s="14">
        <v>0.5</v>
      </c>
      <c r="G1089" s="40">
        <v>46113.0</v>
      </c>
    </row>
    <row r="1090" ht="15.75" customHeight="1">
      <c r="A1090" s="4" t="s">
        <v>38</v>
      </c>
      <c r="B1090" s="4" t="s">
        <v>63</v>
      </c>
      <c r="C1090" s="4" t="s">
        <v>64</v>
      </c>
      <c r="D1090" s="4" t="s">
        <v>283</v>
      </c>
      <c r="E1090" s="4" t="s">
        <v>1451</v>
      </c>
      <c r="F1090" s="14">
        <v>1.5</v>
      </c>
      <c r="G1090" s="40">
        <v>46113.0</v>
      </c>
    </row>
    <row r="1091" ht="15.75" customHeight="1">
      <c r="A1091" s="4" t="s">
        <v>38</v>
      </c>
      <c r="B1091" s="4" t="s">
        <v>63</v>
      </c>
      <c r="C1091" s="4" t="s">
        <v>64</v>
      </c>
      <c r="D1091" s="4" t="s">
        <v>194</v>
      </c>
      <c r="E1091" s="4" t="s">
        <v>1452</v>
      </c>
      <c r="F1091" s="14">
        <v>0.5</v>
      </c>
      <c r="G1091" s="40">
        <v>46143.0</v>
      </c>
    </row>
    <row r="1092" ht="15.75" customHeight="1">
      <c r="A1092" s="4" t="s">
        <v>38</v>
      </c>
      <c r="B1092" s="4" t="s">
        <v>63</v>
      </c>
      <c r="C1092" s="4" t="s">
        <v>64</v>
      </c>
      <c r="D1092" s="4" t="s">
        <v>194</v>
      </c>
      <c r="E1092" s="4" t="s">
        <v>1453</v>
      </c>
      <c r="F1092" s="14">
        <v>0.5</v>
      </c>
      <c r="G1092" s="40">
        <v>46143.0</v>
      </c>
    </row>
    <row r="1093" ht="15.75" customHeight="1">
      <c r="A1093" s="4" t="s">
        <v>38</v>
      </c>
      <c r="B1093" s="4" t="s">
        <v>63</v>
      </c>
      <c r="C1093" s="4" t="s">
        <v>64</v>
      </c>
      <c r="D1093" s="4" t="s">
        <v>194</v>
      </c>
      <c r="E1093" s="4" t="s">
        <v>1454</v>
      </c>
      <c r="F1093" s="14">
        <v>0.5</v>
      </c>
      <c r="G1093" s="40">
        <v>46143.0</v>
      </c>
    </row>
    <row r="1094" ht="15.75" customHeight="1">
      <c r="A1094" s="4" t="s">
        <v>38</v>
      </c>
      <c r="B1094" s="4" t="s">
        <v>63</v>
      </c>
      <c r="C1094" s="4" t="s">
        <v>64</v>
      </c>
      <c r="D1094" s="4" t="s">
        <v>273</v>
      </c>
      <c r="E1094" s="4" t="s">
        <v>1455</v>
      </c>
      <c r="F1094" s="14">
        <v>1.0</v>
      </c>
      <c r="G1094" s="40">
        <v>46143.0</v>
      </c>
    </row>
    <row r="1095" ht="15.75" customHeight="1">
      <c r="A1095" s="4" t="s">
        <v>38</v>
      </c>
      <c r="B1095" s="4" t="s">
        <v>63</v>
      </c>
      <c r="C1095" s="4" t="s">
        <v>64</v>
      </c>
      <c r="D1095" s="4" t="s">
        <v>283</v>
      </c>
      <c r="E1095" s="4" t="s">
        <v>1456</v>
      </c>
      <c r="F1095" s="14">
        <v>1.5</v>
      </c>
      <c r="G1095" s="40">
        <v>46143.0</v>
      </c>
    </row>
    <row r="1096" ht="15.75" customHeight="1">
      <c r="A1096" s="4" t="s">
        <v>38</v>
      </c>
      <c r="B1096" s="4" t="s">
        <v>63</v>
      </c>
      <c r="C1096" s="4" t="s">
        <v>64</v>
      </c>
      <c r="D1096" s="4" t="s">
        <v>273</v>
      </c>
      <c r="E1096" s="4" t="s">
        <v>1457</v>
      </c>
      <c r="F1096" s="14">
        <v>1.0</v>
      </c>
      <c r="G1096" s="40">
        <v>46143.0</v>
      </c>
    </row>
    <row r="1097" ht="15.75" customHeight="1">
      <c r="A1097" s="4" t="s">
        <v>38</v>
      </c>
      <c r="B1097" s="4" t="s">
        <v>63</v>
      </c>
      <c r="C1097" s="4" t="s">
        <v>64</v>
      </c>
      <c r="D1097" s="4" t="s">
        <v>273</v>
      </c>
      <c r="E1097" s="4" t="s">
        <v>1458</v>
      </c>
      <c r="F1097" s="14">
        <v>1.0</v>
      </c>
      <c r="G1097" s="40">
        <v>46143.0</v>
      </c>
    </row>
    <row r="1098" ht="15.75" customHeight="1">
      <c r="A1098" s="4" t="s">
        <v>38</v>
      </c>
      <c r="B1098" s="4" t="s">
        <v>63</v>
      </c>
      <c r="C1098" s="4" t="s">
        <v>64</v>
      </c>
      <c r="D1098" s="4" t="s">
        <v>273</v>
      </c>
      <c r="E1098" s="4" t="s">
        <v>1459</v>
      </c>
      <c r="F1098" s="14">
        <v>1.0</v>
      </c>
      <c r="G1098" s="40">
        <v>46143.0</v>
      </c>
    </row>
    <row r="1099" ht="15.75" customHeight="1">
      <c r="A1099" s="4" t="s">
        <v>38</v>
      </c>
      <c r="B1099" s="4" t="s">
        <v>63</v>
      </c>
      <c r="C1099" s="4" t="s">
        <v>64</v>
      </c>
      <c r="D1099" s="4" t="s">
        <v>273</v>
      </c>
      <c r="E1099" s="4" t="s">
        <v>1460</v>
      </c>
      <c r="F1099" s="14">
        <v>1.0</v>
      </c>
      <c r="G1099" s="40">
        <v>46143.0</v>
      </c>
    </row>
    <row r="1100" ht="15.75" customHeight="1">
      <c r="A1100" s="4" t="s">
        <v>38</v>
      </c>
      <c r="B1100" s="4" t="s">
        <v>63</v>
      </c>
      <c r="C1100" s="4" t="s">
        <v>64</v>
      </c>
      <c r="D1100" s="4" t="s">
        <v>194</v>
      </c>
      <c r="E1100" s="4" t="s">
        <v>1461</v>
      </c>
      <c r="F1100" s="14">
        <v>0.5</v>
      </c>
      <c r="G1100" s="40">
        <v>46143.0</v>
      </c>
    </row>
    <row r="1101" ht="15.75" customHeight="1">
      <c r="A1101" s="4" t="s">
        <v>38</v>
      </c>
      <c r="B1101" s="4" t="s">
        <v>63</v>
      </c>
      <c r="C1101" s="4" t="s">
        <v>64</v>
      </c>
      <c r="D1101" s="4" t="s">
        <v>273</v>
      </c>
      <c r="E1101" s="4" t="s">
        <v>1462</v>
      </c>
      <c r="F1101" s="14">
        <v>1.0</v>
      </c>
      <c r="G1101" s="40">
        <v>46143.0</v>
      </c>
    </row>
    <row r="1102" ht="15.75" customHeight="1">
      <c r="A1102" s="4" t="s">
        <v>38</v>
      </c>
      <c r="B1102" s="4" t="s">
        <v>63</v>
      </c>
      <c r="C1102" s="4" t="s">
        <v>64</v>
      </c>
      <c r="D1102" s="4" t="s">
        <v>420</v>
      </c>
      <c r="E1102" s="4" t="s">
        <v>1463</v>
      </c>
      <c r="F1102" s="14">
        <v>0.25</v>
      </c>
      <c r="G1102" s="40">
        <v>46143.0</v>
      </c>
    </row>
    <row r="1103" ht="15.75" customHeight="1">
      <c r="A1103" s="4" t="s">
        <v>38</v>
      </c>
      <c r="B1103" s="4" t="s">
        <v>63</v>
      </c>
      <c r="C1103" s="4" t="s">
        <v>64</v>
      </c>
      <c r="D1103" s="4" t="s">
        <v>273</v>
      </c>
      <c r="E1103" s="4" t="s">
        <v>1464</v>
      </c>
      <c r="F1103" s="14">
        <v>1.0</v>
      </c>
      <c r="G1103" s="40">
        <v>46174.0</v>
      </c>
    </row>
    <row r="1104" ht="15.75" customHeight="1">
      <c r="A1104" s="4" t="s">
        <v>38</v>
      </c>
      <c r="B1104" s="4" t="s">
        <v>63</v>
      </c>
      <c r="C1104" s="4" t="s">
        <v>64</v>
      </c>
      <c r="D1104" s="4" t="s">
        <v>273</v>
      </c>
      <c r="E1104" s="4" t="s">
        <v>1465</v>
      </c>
      <c r="F1104" s="14">
        <v>1.0</v>
      </c>
      <c r="G1104" s="40">
        <v>46174.0</v>
      </c>
    </row>
    <row r="1105" ht="15.75" customHeight="1">
      <c r="A1105" s="4" t="s">
        <v>38</v>
      </c>
      <c r="B1105" s="4" t="s">
        <v>63</v>
      </c>
      <c r="C1105" s="4" t="s">
        <v>64</v>
      </c>
      <c r="D1105" s="4" t="s">
        <v>363</v>
      </c>
      <c r="E1105" s="4" t="s">
        <v>1466</v>
      </c>
      <c r="F1105" s="14">
        <v>2.0</v>
      </c>
      <c r="G1105" s="40">
        <v>46174.0</v>
      </c>
    </row>
    <row r="1106" ht="15.75" customHeight="1">
      <c r="A1106" s="4" t="s">
        <v>38</v>
      </c>
      <c r="B1106" s="4" t="s">
        <v>63</v>
      </c>
      <c r="C1106" s="4" t="s">
        <v>64</v>
      </c>
      <c r="D1106" s="4" t="s">
        <v>273</v>
      </c>
      <c r="E1106" s="4" t="s">
        <v>1467</v>
      </c>
      <c r="F1106" s="14">
        <v>1.0</v>
      </c>
      <c r="G1106" s="40">
        <v>46174.0</v>
      </c>
    </row>
    <row r="1107" ht="15.75" customHeight="1">
      <c r="A1107" s="4" t="s">
        <v>38</v>
      </c>
      <c r="B1107" s="4" t="s">
        <v>63</v>
      </c>
      <c r="C1107" s="4" t="s">
        <v>64</v>
      </c>
      <c r="D1107" s="4" t="s">
        <v>194</v>
      </c>
      <c r="E1107" s="4" t="s">
        <v>1468</v>
      </c>
      <c r="F1107" s="14">
        <v>0.5</v>
      </c>
      <c r="G1107" s="40">
        <v>46174.0</v>
      </c>
    </row>
    <row r="1108" ht="15.75" customHeight="1">
      <c r="A1108" s="4" t="s">
        <v>38</v>
      </c>
      <c r="B1108" s="4" t="s">
        <v>63</v>
      </c>
      <c r="C1108" s="4" t="s">
        <v>64</v>
      </c>
      <c r="D1108" s="4" t="s">
        <v>273</v>
      </c>
      <c r="E1108" s="4" t="s">
        <v>1469</v>
      </c>
      <c r="F1108" s="14">
        <v>1.0</v>
      </c>
      <c r="G1108" s="40">
        <v>46174.0</v>
      </c>
    </row>
    <row r="1109" ht="15.75" customHeight="1">
      <c r="A1109" s="4" t="s">
        <v>38</v>
      </c>
      <c r="B1109" s="4" t="s">
        <v>63</v>
      </c>
      <c r="C1109" s="4" t="s">
        <v>64</v>
      </c>
      <c r="D1109" s="4" t="s">
        <v>422</v>
      </c>
      <c r="E1109" s="4" t="s">
        <v>1470</v>
      </c>
      <c r="F1109" s="14">
        <v>2.5</v>
      </c>
      <c r="G1109" s="40">
        <v>46174.0</v>
      </c>
    </row>
    <row r="1110" ht="15.75" customHeight="1">
      <c r="A1110" s="4" t="s">
        <v>38</v>
      </c>
      <c r="B1110" s="4" t="s">
        <v>63</v>
      </c>
      <c r="C1110" s="4" t="s">
        <v>64</v>
      </c>
      <c r="D1110" s="4" t="s">
        <v>273</v>
      </c>
      <c r="E1110" s="4" t="s">
        <v>1471</v>
      </c>
      <c r="F1110" s="14">
        <v>1.0</v>
      </c>
      <c r="G1110" s="40">
        <v>46174.0</v>
      </c>
    </row>
    <row r="1111" ht="15.75" customHeight="1">
      <c r="A1111" s="4" t="s">
        <v>38</v>
      </c>
      <c r="B1111" s="4" t="s">
        <v>63</v>
      </c>
      <c r="C1111" s="4" t="s">
        <v>64</v>
      </c>
      <c r="D1111" s="4" t="s">
        <v>283</v>
      </c>
      <c r="E1111" s="4" t="s">
        <v>1472</v>
      </c>
      <c r="F1111" s="14">
        <v>1.5</v>
      </c>
      <c r="G1111" s="40">
        <v>46174.0</v>
      </c>
    </row>
    <row r="1112" ht="15.75" customHeight="1">
      <c r="A1112" s="4" t="s">
        <v>38</v>
      </c>
      <c r="B1112" s="4" t="s">
        <v>63</v>
      </c>
      <c r="C1112" s="4" t="s">
        <v>64</v>
      </c>
      <c r="D1112" s="4" t="s">
        <v>273</v>
      </c>
      <c r="E1112" s="4" t="s">
        <v>1473</v>
      </c>
      <c r="F1112" s="14">
        <v>1.0</v>
      </c>
      <c r="G1112" s="40">
        <v>46174.0</v>
      </c>
    </row>
    <row r="1113" ht="15.75" customHeight="1">
      <c r="A1113" s="4" t="s">
        <v>38</v>
      </c>
      <c r="B1113" s="4" t="s">
        <v>63</v>
      </c>
      <c r="C1113" s="4" t="s">
        <v>64</v>
      </c>
      <c r="D1113" s="4" t="s">
        <v>363</v>
      </c>
      <c r="E1113" s="4" t="s">
        <v>1474</v>
      </c>
      <c r="F1113" s="14">
        <v>2.0</v>
      </c>
      <c r="G1113" s="40">
        <v>46174.0</v>
      </c>
    </row>
    <row r="1114" ht="15.75" customHeight="1">
      <c r="A1114" s="4" t="s">
        <v>38</v>
      </c>
      <c r="B1114" s="4" t="s">
        <v>63</v>
      </c>
      <c r="C1114" s="4" t="s">
        <v>64</v>
      </c>
      <c r="D1114" s="4" t="s">
        <v>194</v>
      </c>
      <c r="E1114" s="4" t="s">
        <v>1475</v>
      </c>
      <c r="F1114" s="14">
        <v>0.5</v>
      </c>
      <c r="G1114" s="40">
        <v>46174.0</v>
      </c>
    </row>
    <row r="1115" ht="15.75" customHeight="1">
      <c r="A1115" s="4" t="s">
        <v>38</v>
      </c>
      <c r="B1115" s="4" t="s">
        <v>63</v>
      </c>
      <c r="C1115" s="4" t="s">
        <v>64</v>
      </c>
      <c r="D1115" s="4" t="s">
        <v>283</v>
      </c>
      <c r="E1115" s="4" t="s">
        <v>1476</v>
      </c>
      <c r="F1115" s="14">
        <v>1.5</v>
      </c>
      <c r="G1115" s="40">
        <v>46174.0</v>
      </c>
    </row>
    <row r="1116" ht="15.75" customHeight="1">
      <c r="A1116" s="4" t="s">
        <v>38</v>
      </c>
      <c r="B1116" s="4" t="s">
        <v>63</v>
      </c>
      <c r="C1116" s="4" t="s">
        <v>64</v>
      </c>
      <c r="D1116" s="4" t="s">
        <v>194</v>
      </c>
      <c r="E1116" s="4" t="s">
        <v>1477</v>
      </c>
      <c r="F1116" s="14">
        <v>0.5</v>
      </c>
      <c r="G1116" s="40">
        <v>46174.0</v>
      </c>
    </row>
    <row r="1117" ht="15.75" customHeight="1">
      <c r="A1117" s="4" t="s">
        <v>38</v>
      </c>
      <c r="B1117" s="4" t="s">
        <v>63</v>
      </c>
      <c r="C1117" s="4" t="s">
        <v>64</v>
      </c>
      <c r="D1117" s="4" t="s">
        <v>273</v>
      </c>
      <c r="E1117" s="4" t="s">
        <v>1478</v>
      </c>
      <c r="F1117" s="14">
        <v>1.0</v>
      </c>
      <c r="G1117" s="40">
        <v>46174.0</v>
      </c>
    </row>
    <row r="1118" ht="15.75" customHeight="1">
      <c r="A1118" s="4" t="s">
        <v>38</v>
      </c>
      <c r="B1118" s="4" t="s">
        <v>63</v>
      </c>
      <c r="C1118" s="4" t="s">
        <v>64</v>
      </c>
      <c r="D1118" s="4" t="s">
        <v>283</v>
      </c>
      <c r="E1118" s="4" t="s">
        <v>1479</v>
      </c>
      <c r="F1118" s="14">
        <v>1.5</v>
      </c>
      <c r="G1118" s="40">
        <v>46174.0</v>
      </c>
    </row>
    <row r="1119" ht="15.75" customHeight="1">
      <c r="A1119" s="4" t="s">
        <v>38</v>
      </c>
      <c r="B1119" s="4" t="s">
        <v>63</v>
      </c>
      <c r="C1119" s="4" t="s">
        <v>64</v>
      </c>
      <c r="D1119" s="4" t="s">
        <v>273</v>
      </c>
      <c r="E1119" s="4" t="s">
        <v>1480</v>
      </c>
      <c r="F1119" s="14">
        <v>1.0</v>
      </c>
      <c r="G1119" s="40">
        <v>46174.0</v>
      </c>
    </row>
    <row r="1120" ht="15.75" customHeight="1">
      <c r="A1120" s="4" t="s">
        <v>38</v>
      </c>
      <c r="B1120" s="4" t="s">
        <v>63</v>
      </c>
      <c r="C1120" s="4" t="s">
        <v>64</v>
      </c>
      <c r="D1120" s="4" t="s">
        <v>283</v>
      </c>
      <c r="E1120" s="4" t="s">
        <v>1481</v>
      </c>
      <c r="F1120" s="14">
        <v>1.5</v>
      </c>
      <c r="G1120" s="40">
        <v>46204.0</v>
      </c>
    </row>
    <row r="1121" ht="15.75" customHeight="1">
      <c r="A1121" s="4" t="s">
        <v>38</v>
      </c>
      <c r="B1121" s="4" t="s">
        <v>63</v>
      </c>
      <c r="C1121" s="4" t="s">
        <v>64</v>
      </c>
      <c r="D1121" s="4" t="s">
        <v>286</v>
      </c>
      <c r="E1121" s="4" t="s">
        <v>1482</v>
      </c>
      <c r="F1121" s="14">
        <v>0.75</v>
      </c>
      <c r="G1121" s="40">
        <v>46204.0</v>
      </c>
    </row>
    <row r="1122" ht="15.75" customHeight="1">
      <c r="A1122" s="4" t="s">
        <v>38</v>
      </c>
      <c r="B1122" s="4" t="s">
        <v>63</v>
      </c>
      <c r="C1122" s="4" t="s">
        <v>64</v>
      </c>
      <c r="D1122" s="4" t="s">
        <v>283</v>
      </c>
      <c r="E1122" s="4" t="s">
        <v>1483</v>
      </c>
      <c r="F1122" s="14">
        <v>1.5</v>
      </c>
      <c r="G1122" s="40">
        <v>46204.0</v>
      </c>
    </row>
    <row r="1123" ht="15.75" customHeight="1">
      <c r="A1123" s="4" t="s">
        <v>38</v>
      </c>
      <c r="B1123" s="4" t="s">
        <v>63</v>
      </c>
      <c r="C1123" s="4" t="s">
        <v>64</v>
      </c>
      <c r="D1123" s="4" t="s">
        <v>194</v>
      </c>
      <c r="E1123" s="4" t="s">
        <v>1484</v>
      </c>
      <c r="F1123" s="14">
        <v>0.5</v>
      </c>
      <c r="G1123" s="40">
        <v>46204.0</v>
      </c>
    </row>
    <row r="1124" ht="15.75" customHeight="1">
      <c r="A1124" s="4" t="s">
        <v>38</v>
      </c>
      <c r="B1124" s="4" t="s">
        <v>63</v>
      </c>
      <c r="C1124" s="4" t="s">
        <v>64</v>
      </c>
      <c r="D1124" s="4" t="s">
        <v>273</v>
      </c>
      <c r="E1124" s="4" t="s">
        <v>1485</v>
      </c>
      <c r="F1124" s="14">
        <v>1.0</v>
      </c>
      <c r="G1124" s="40">
        <v>46204.0</v>
      </c>
    </row>
    <row r="1125" ht="15.75" customHeight="1">
      <c r="A1125" s="4" t="s">
        <v>38</v>
      </c>
      <c r="B1125" s="4" t="s">
        <v>63</v>
      </c>
      <c r="C1125" s="4" t="s">
        <v>64</v>
      </c>
      <c r="D1125" s="4" t="s">
        <v>273</v>
      </c>
      <c r="E1125" s="4" t="s">
        <v>1486</v>
      </c>
      <c r="F1125" s="14">
        <v>1.0</v>
      </c>
      <c r="G1125" s="40">
        <v>46204.0</v>
      </c>
    </row>
    <row r="1126" ht="15.75" customHeight="1">
      <c r="A1126" s="4" t="s">
        <v>38</v>
      </c>
      <c r="B1126" s="4" t="s">
        <v>63</v>
      </c>
      <c r="C1126" s="4" t="s">
        <v>64</v>
      </c>
      <c r="D1126" s="4" t="s">
        <v>283</v>
      </c>
      <c r="E1126" s="4" t="s">
        <v>1487</v>
      </c>
      <c r="F1126" s="14">
        <v>1.5</v>
      </c>
      <c r="G1126" s="40">
        <v>46204.0</v>
      </c>
    </row>
    <row r="1127" ht="15.75" customHeight="1">
      <c r="A1127" s="4" t="s">
        <v>38</v>
      </c>
      <c r="B1127" s="4" t="s">
        <v>63</v>
      </c>
      <c r="C1127" s="4" t="s">
        <v>64</v>
      </c>
      <c r="D1127" s="4" t="s">
        <v>194</v>
      </c>
      <c r="E1127" s="4" t="s">
        <v>1488</v>
      </c>
      <c r="F1127" s="14">
        <v>0.5</v>
      </c>
      <c r="G1127" s="40">
        <v>46204.0</v>
      </c>
    </row>
    <row r="1128" ht="15.75" customHeight="1">
      <c r="A1128" s="4" t="s">
        <v>38</v>
      </c>
      <c r="B1128" s="4" t="s">
        <v>63</v>
      </c>
      <c r="C1128" s="4" t="s">
        <v>64</v>
      </c>
      <c r="D1128" s="4" t="s">
        <v>561</v>
      </c>
      <c r="E1128" s="4" t="s">
        <v>1489</v>
      </c>
      <c r="F1128" s="14">
        <v>1.75</v>
      </c>
      <c r="G1128" s="40">
        <v>46204.0</v>
      </c>
    </row>
    <row r="1129" ht="15.75" customHeight="1">
      <c r="A1129" s="4" t="s">
        <v>38</v>
      </c>
      <c r="B1129" s="4" t="s">
        <v>63</v>
      </c>
      <c r="C1129" s="4" t="s">
        <v>64</v>
      </c>
      <c r="D1129" s="4" t="s">
        <v>283</v>
      </c>
      <c r="E1129" s="4" t="s">
        <v>1490</v>
      </c>
      <c r="F1129" s="14">
        <v>1.5</v>
      </c>
      <c r="G1129" s="40">
        <v>46204.0</v>
      </c>
    </row>
    <row r="1130" ht="15.75" customHeight="1">
      <c r="A1130" s="4" t="s">
        <v>38</v>
      </c>
      <c r="B1130" s="4" t="s">
        <v>63</v>
      </c>
      <c r="C1130" s="4" t="s">
        <v>64</v>
      </c>
      <c r="D1130" s="4" t="s">
        <v>194</v>
      </c>
      <c r="E1130" s="4" t="s">
        <v>1491</v>
      </c>
      <c r="F1130" s="14">
        <v>0.5</v>
      </c>
      <c r="G1130" s="40">
        <v>46204.0</v>
      </c>
    </row>
    <row r="1131" ht="15.75" customHeight="1">
      <c r="A1131" s="4" t="s">
        <v>38</v>
      </c>
      <c r="B1131" s="4" t="s">
        <v>63</v>
      </c>
      <c r="C1131" s="4" t="s">
        <v>64</v>
      </c>
      <c r="D1131" s="4" t="s">
        <v>273</v>
      </c>
      <c r="E1131" s="4" t="s">
        <v>1492</v>
      </c>
      <c r="F1131" s="14">
        <v>1.0</v>
      </c>
      <c r="G1131" s="40">
        <v>46204.0</v>
      </c>
    </row>
    <row r="1132" ht="15.75" customHeight="1">
      <c r="A1132" s="4" t="s">
        <v>38</v>
      </c>
      <c r="B1132" s="4" t="s">
        <v>63</v>
      </c>
      <c r="C1132" s="4" t="s">
        <v>64</v>
      </c>
      <c r="D1132" s="4" t="s">
        <v>286</v>
      </c>
      <c r="E1132" s="4" t="s">
        <v>1493</v>
      </c>
      <c r="F1132" s="14">
        <v>0.75</v>
      </c>
      <c r="G1132" s="40">
        <v>46204.0</v>
      </c>
    </row>
    <row r="1133" ht="15.75" customHeight="1">
      <c r="A1133" s="4" t="s">
        <v>38</v>
      </c>
      <c r="B1133" s="4" t="s">
        <v>63</v>
      </c>
      <c r="C1133" s="4" t="s">
        <v>64</v>
      </c>
      <c r="D1133" s="4" t="s">
        <v>273</v>
      </c>
      <c r="E1133" s="4" t="s">
        <v>1494</v>
      </c>
      <c r="F1133" s="14">
        <v>1.0</v>
      </c>
      <c r="G1133" s="40">
        <v>46204.0</v>
      </c>
    </row>
    <row r="1134" ht="15.75" customHeight="1">
      <c r="A1134" s="4" t="s">
        <v>38</v>
      </c>
      <c r="B1134" s="4" t="s">
        <v>63</v>
      </c>
      <c r="C1134" s="4" t="s">
        <v>64</v>
      </c>
      <c r="D1134" s="4" t="s">
        <v>273</v>
      </c>
      <c r="E1134" s="4" t="s">
        <v>1495</v>
      </c>
      <c r="F1134" s="14">
        <v>1.0</v>
      </c>
      <c r="G1134" s="40">
        <v>46204.0</v>
      </c>
    </row>
    <row r="1135" ht="15.75" customHeight="1">
      <c r="A1135" s="4" t="s">
        <v>38</v>
      </c>
      <c r="B1135" s="4" t="s">
        <v>63</v>
      </c>
      <c r="C1135" s="4" t="s">
        <v>64</v>
      </c>
      <c r="D1135" s="4" t="s">
        <v>441</v>
      </c>
      <c r="E1135" s="4" t="s">
        <v>1496</v>
      </c>
      <c r="F1135" s="14">
        <v>1.25</v>
      </c>
      <c r="G1135" s="40">
        <v>46204.0</v>
      </c>
    </row>
    <row r="1136" ht="15.75" customHeight="1">
      <c r="A1136" s="4" t="s">
        <v>38</v>
      </c>
      <c r="B1136" s="4" t="s">
        <v>63</v>
      </c>
      <c r="C1136" s="4" t="s">
        <v>64</v>
      </c>
      <c r="D1136" s="4" t="s">
        <v>273</v>
      </c>
      <c r="E1136" s="4" t="s">
        <v>1497</v>
      </c>
      <c r="F1136" s="14">
        <v>1.0</v>
      </c>
      <c r="G1136" s="40">
        <v>46204.0</v>
      </c>
    </row>
    <row r="1137" ht="15.75" customHeight="1">
      <c r="A1137" s="4" t="s">
        <v>38</v>
      </c>
      <c r="B1137" s="4" t="s">
        <v>63</v>
      </c>
      <c r="C1137" s="4" t="s">
        <v>64</v>
      </c>
      <c r="D1137" s="4" t="s">
        <v>194</v>
      </c>
      <c r="E1137" s="4" t="s">
        <v>1498</v>
      </c>
      <c r="F1137" s="14">
        <v>0.5</v>
      </c>
      <c r="G1137" s="40">
        <v>46204.0</v>
      </c>
    </row>
    <row r="1138" ht="15.75" customHeight="1">
      <c r="A1138" s="4" t="s">
        <v>38</v>
      </c>
      <c r="B1138" s="4" t="s">
        <v>63</v>
      </c>
      <c r="C1138" s="4" t="s">
        <v>64</v>
      </c>
      <c r="D1138" s="4" t="s">
        <v>273</v>
      </c>
      <c r="E1138" s="4" t="s">
        <v>1499</v>
      </c>
      <c r="F1138" s="14">
        <v>1.0</v>
      </c>
      <c r="G1138" s="40">
        <v>46204.0</v>
      </c>
    </row>
    <row r="1139" ht="15.75" customHeight="1">
      <c r="A1139" s="4" t="s">
        <v>38</v>
      </c>
      <c r="B1139" s="4" t="s">
        <v>63</v>
      </c>
      <c r="C1139" s="4" t="s">
        <v>64</v>
      </c>
      <c r="D1139" s="4" t="s">
        <v>363</v>
      </c>
      <c r="E1139" s="4" t="s">
        <v>1500</v>
      </c>
      <c r="F1139" s="14">
        <v>2.0</v>
      </c>
      <c r="G1139" s="40">
        <v>46204.0</v>
      </c>
    </row>
    <row r="1140" ht="15.75" customHeight="1">
      <c r="A1140" s="4" t="s">
        <v>38</v>
      </c>
      <c r="B1140" s="4" t="s">
        <v>63</v>
      </c>
      <c r="C1140" s="4" t="s">
        <v>64</v>
      </c>
      <c r="D1140" s="4" t="s">
        <v>194</v>
      </c>
      <c r="E1140" s="4" t="s">
        <v>1501</v>
      </c>
      <c r="F1140" s="14">
        <v>0.5</v>
      </c>
      <c r="G1140" s="40">
        <v>46204.0</v>
      </c>
    </row>
    <row r="1141" ht="15.75" customHeight="1">
      <c r="A1141" s="4" t="s">
        <v>38</v>
      </c>
      <c r="B1141" s="4" t="s">
        <v>63</v>
      </c>
      <c r="C1141" s="4" t="s">
        <v>64</v>
      </c>
      <c r="D1141" s="4" t="s">
        <v>194</v>
      </c>
      <c r="E1141" s="4" t="s">
        <v>1502</v>
      </c>
      <c r="F1141" s="14">
        <v>0.5</v>
      </c>
      <c r="G1141" s="40">
        <v>46204.0</v>
      </c>
    </row>
    <row r="1142" ht="15.75" customHeight="1">
      <c r="A1142" s="4" t="s">
        <v>38</v>
      </c>
      <c r="B1142" s="4" t="s">
        <v>63</v>
      </c>
      <c r="C1142" s="4" t="s">
        <v>64</v>
      </c>
      <c r="D1142" s="4" t="s">
        <v>363</v>
      </c>
      <c r="E1142" s="4" t="s">
        <v>1503</v>
      </c>
      <c r="F1142" s="14">
        <v>2.0</v>
      </c>
      <c r="G1142" s="40">
        <v>46204.0</v>
      </c>
    </row>
    <row r="1143" ht="15.75" customHeight="1">
      <c r="A1143" s="4" t="s">
        <v>38</v>
      </c>
      <c r="B1143" s="4" t="s">
        <v>63</v>
      </c>
      <c r="C1143" s="4" t="s">
        <v>64</v>
      </c>
      <c r="D1143" s="4" t="s">
        <v>286</v>
      </c>
      <c r="E1143" s="4" t="s">
        <v>1504</v>
      </c>
      <c r="F1143" s="14">
        <v>0.75</v>
      </c>
      <c r="G1143" s="40">
        <v>46204.0</v>
      </c>
    </row>
    <row r="1144" ht="15.75" customHeight="1">
      <c r="A1144" s="4" t="s">
        <v>38</v>
      </c>
      <c r="B1144" s="4" t="s">
        <v>1505</v>
      </c>
      <c r="C1144" s="4" t="s">
        <v>1506</v>
      </c>
      <c r="D1144" s="4" t="s">
        <v>273</v>
      </c>
      <c r="E1144" s="4" t="s">
        <v>1507</v>
      </c>
      <c r="F1144" s="14">
        <v>1.0</v>
      </c>
      <c r="G1144" s="40">
        <v>46113.0</v>
      </c>
    </row>
    <row r="1145" ht="15.75" customHeight="1">
      <c r="A1145" s="4" t="s">
        <v>38</v>
      </c>
      <c r="B1145" s="4" t="s">
        <v>1505</v>
      </c>
      <c r="C1145" s="4" t="s">
        <v>1506</v>
      </c>
      <c r="D1145" s="4" t="s">
        <v>283</v>
      </c>
      <c r="E1145" s="4" t="s">
        <v>1508</v>
      </c>
      <c r="F1145" s="14">
        <v>1.5</v>
      </c>
      <c r="G1145" s="40">
        <v>46113.0</v>
      </c>
    </row>
    <row r="1146" ht="15.75" customHeight="1">
      <c r="A1146" s="4" t="s">
        <v>38</v>
      </c>
      <c r="B1146" s="4" t="s">
        <v>1505</v>
      </c>
      <c r="C1146" s="4" t="s">
        <v>1506</v>
      </c>
      <c r="D1146" s="4" t="s">
        <v>422</v>
      </c>
      <c r="E1146" s="4" t="s">
        <v>1509</v>
      </c>
      <c r="F1146" s="14">
        <v>2.5</v>
      </c>
      <c r="G1146" s="40">
        <v>46113.0</v>
      </c>
    </row>
    <row r="1147" ht="15.75" customHeight="1">
      <c r="A1147" s="4" t="s">
        <v>38</v>
      </c>
      <c r="B1147" s="4" t="s">
        <v>1505</v>
      </c>
      <c r="C1147" s="4" t="s">
        <v>1506</v>
      </c>
      <c r="D1147" s="4" t="s">
        <v>273</v>
      </c>
      <c r="E1147" s="4" t="s">
        <v>1510</v>
      </c>
      <c r="F1147" s="14">
        <v>1.0</v>
      </c>
      <c r="G1147" s="40">
        <v>46113.0</v>
      </c>
    </row>
    <row r="1148" ht="15.75" customHeight="1">
      <c r="A1148" s="4" t="s">
        <v>38</v>
      </c>
      <c r="B1148" s="4" t="s">
        <v>1505</v>
      </c>
      <c r="C1148" s="4" t="s">
        <v>1506</v>
      </c>
      <c r="D1148" s="4" t="s">
        <v>283</v>
      </c>
      <c r="E1148" s="4" t="s">
        <v>1511</v>
      </c>
      <c r="F1148" s="14">
        <v>1.5</v>
      </c>
      <c r="G1148" s="40">
        <v>46113.0</v>
      </c>
    </row>
    <row r="1149" ht="15.75" customHeight="1">
      <c r="A1149" s="4" t="s">
        <v>38</v>
      </c>
      <c r="B1149" s="4" t="s">
        <v>1505</v>
      </c>
      <c r="C1149" s="4" t="s">
        <v>1506</v>
      </c>
      <c r="D1149" s="4" t="s">
        <v>273</v>
      </c>
      <c r="E1149" s="4" t="s">
        <v>1512</v>
      </c>
      <c r="F1149" s="14">
        <v>1.0</v>
      </c>
      <c r="G1149" s="40">
        <v>46113.0</v>
      </c>
    </row>
    <row r="1150" ht="15.75" customHeight="1">
      <c r="A1150" s="4" t="s">
        <v>38</v>
      </c>
      <c r="B1150" s="4" t="s">
        <v>1505</v>
      </c>
      <c r="C1150" s="4" t="s">
        <v>1506</v>
      </c>
      <c r="D1150" s="4" t="s">
        <v>363</v>
      </c>
      <c r="E1150" s="4" t="s">
        <v>1513</v>
      </c>
      <c r="F1150" s="14">
        <v>2.0</v>
      </c>
      <c r="G1150" s="40">
        <v>46113.0</v>
      </c>
    </row>
    <row r="1151" ht="15.75" customHeight="1">
      <c r="A1151" s="4" t="s">
        <v>38</v>
      </c>
      <c r="B1151" s="4" t="s">
        <v>1505</v>
      </c>
      <c r="C1151" s="4" t="s">
        <v>1506</v>
      </c>
      <c r="D1151" s="4" t="s">
        <v>273</v>
      </c>
      <c r="E1151" s="4" t="s">
        <v>1514</v>
      </c>
      <c r="F1151" s="14">
        <v>1.0</v>
      </c>
      <c r="G1151" s="40">
        <v>46113.0</v>
      </c>
    </row>
    <row r="1152" ht="15.75" customHeight="1">
      <c r="A1152" s="4" t="s">
        <v>38</v>
      </c>
      <c r="B1152" s="4" t="s">
        <v>1505</v>
      </c>
      <c r="C1152" s="4" t="s">
        <v>1506</v>
      </c>
      <c r="D1152" s="4" t="s">
        <v>283</v>
      </c>
      <c r="E1152" s="4" t="s">
        <v>1515</v>
      </c>
      <c r="F1152" s="14">
        <v>1.5</v>
      </c>
      <c r="G1152" s="40">
        <v>46113.0</v>
      </c>
    </row>
    <row r="1153" ht="15.75" customHeight="1">
      <c r="A1153" s="4" t="s">
        <v>38</v>
      </c>
      <c r="B1153" s="4" t="s">
        <v>1505</v>
      </c>
      <c r="C1153" s="4" t="s">
        <v>1506</v>
      </c>
      <c r="D1153" s="4" t="s">
        <v>273</v>
      </c>
      <c r="E1153" s="4" t="s">
        <v>1516</v>
      </c>
      <c r="F1153" s="14">
        <v>1.0</v>
      </c>
      <c r="G1153" s="40">
        <v>46143.0</v>
      </c>
    </row>
    <row r="1154" ht="15.75" customHeight="1">
      <c r="A1154" s="4" t="s">
        <v>38</v>
      </c>
      <c r="B1154" s="4" t="s">
        <v>1505</v>
      </c>
      <c r="C1154" s="4" t="s">
        <v>1506</v>
      </c>
      <c r="D1154" s="4" t="s">
        <v>194</v>
      </c>
      <c r="E1154" s="4" t="s">
        <v>1517</v>
      </c>
      <c r="F1154" s="14">
        <v>0.5</v>
      </c>
      <c r="G1154" s="40">
        <v>46143.0</v>
      </c>
    </row>
    <row r="1155" ht="15.75" customHeight="1">
      <c r="A1155" s="4" t="s">
        <v>38</v>
      </c>
      <c r="B1155" s="4" t="s">
        <v>1505</v>
      </c>
      <c r="C1155" s="4" t="s">
        <v>1506</v>
      </c>
      <c r="D1155" s="4" t="s">
        <v>273</v>
      </c>
      <c r="E1155" s="4" t="s">
        <v>1518</v>
      </c>
      <c r="F1155" s="14">
        <v>1.0</v>
      </c>
      <c r="G1155" s="40">
        <v>46143.0</v>
      </c>
    </row>
    <row r="1156" ht="15.75" customHeight="1">
      <c r="A1156" s="4" t="s">
        <v>38</v>
      </c>
      <c r="B1156" s="4" t="s">
        <v>1505</v>
      </c>
      <c r="C1156" s="4" t="s">
        <v>1506</v>
      </c>
      <c r="D1156" s="4" t="s">
        <v>273</v>
      </c>
      <c r="E1156" s="4" t="s">
        <v>1519</v>
      </c>
      <c r="F1156" s="14">
        <v>1.0</v>
      </c>
      <c r="G1156" s="40">
        <v>46143.0</v>
      </c>
    </row>
    <row r="1157" ht="15.75" customHeight="1">
      <c r="A1157" s="4" t="s">
        <v>38</v>
      </c>
      <c r="B1157" s="4" t="s">
        <v>1505</v>
      </c>
      <c r="C1157" s="4" t="s">
        <v>1506</v>
      </c>
      <c r="D1157" s="4" t="s">
        <v>273</v>
      </c>
      <c r="E1157" s="4" t="s">
        <v>1520</v>
      </c>
      <c r="F1157" s="14">
        <v>1.0</v>
      </c>
      <c r="G1157" s="40">
        <v>46143.0</v>
      </c>
    </row>
    <row r="1158" ht="15.75" customHeight="1">
      <c r="A1158" s="4" t="s">
        <v>38</v>
      </c>
      <c r="B1158" s="4" t="s">
        <v>1505</v>
      </c>
      <c r="C1158" s="4" t="s">
        <v>1506</v>
      </c>
      <c r="D1158" s="4" t="s">
        <v>273</v>
      </c>
      <c r="E1158" s="4" t="s">
        <v>1521</v>
      </c>
      <c r="F1158" s="14">
        <v>1.0</v>
      </c>
      <c r="G1158" s="40">
        <v>46143.0</v>
      </c>
    </row>
    <row r="1159" ht="15.75" customHeight="1">
      <c r="A1159" s="4" t="s">
        <v>38</v>
      </c>
      <c r="B1159" s="4" t="s">
        <v>1505</v>
      </c>
      <c r="C1159" s="4" t="s">
        <v>1506</v>
      </c>
      <c r="D1159" s="4" t="s">
        <v>194</v>
      </c>
      <c r="E1159" s="4" t="s">
        <v>1522</v>
      </c>
      <c r="F1159" s="14">
        <v>0.5</v>
      </c>
      <c r="G1159" s="40">
        <v>46143.0</v>
      </c>
    </row>
    <row r="1160" ht="15.75" customHeight="1">
      <c r="A1160" s="4" t="s">
        <v>38</v>
      </c>
      <c r="B1160" s="4" t="s">
        <v>1505</v>
      </c>
      <c r="C1160" s="4" t="s">
        <v>1506</v>
      </c>
      <c r="D1160" s="4" t="s">
        <v>273</v>
      </c>
      <c r="E1160" s="4" t="s">
        <v>1523</v>
      </c>
      <c r="F1160" s="14">
        <v>1.0</v>
      </c>
      <c r="G1160" s="40">
        <v>46143.0</v>
      </c>
    </row>
    <row r="1161" ht="15.75" customHeight="1">
      <c r="A1161" s="4" t="s">
        <v>38</v>
      </c>
      <c r="B1161" s="4" t="s">
        <v>1505</v>
      </c>
      <c r="C1161" s="4" t="s">
        <v>1506</v>
      </c>
      <c r="D1161" s="4" t="s">
        <v>194</v>
      </c>
      <c r="E1161" s="4" t="s">
        <v>1524</v>
      </c>
      <c r="F1161" s="14">
        <v>0.5</v>
      </c>
      <c r="G1161" s="40">
        <v>46143.0</v>
      </c>
    </row>
    <row r="1162" ht="15.75" customHeight="1">
      <c r="A1162" s="4" t="s">
        <v>38</v>
      </c>
      <c r="B1162" s="4" t="s">
        <v>1505</v>
      </c>
      <c r="C1162" s="4" t="s">
        <v>1506</v>
      </c>
      <c r="D1162" s="4" t="s">
        <v>273</v>
      </c>
      <c r="E1162" s="4" t="s">
        <v>1525</v>
      </c>
      <c r="F1162" s="14">
        <v>1.0</v>
      </c>
      <c r="G1162" s="40">
        <v>46174.0</v>
      </c>
    </row>
    <row r="1163" ht="15.75" customHeight="1">
      <c r="A1163" s="4" t="s">
        <v>38</v>
      </c>
      <c r="B1163" s="4" t="s">
        <v>1505</v>
      </c>
      <c r="C1163" s="4" t="s">
        <v>1506</v>
      </c>
      <c r="D1163" s="4" t="s">
        <v>283</v>
      </c>
      <c r="E1163" s="4" t="s">
        <v>1526</v>
      </c>
      <c r="F1163" s="14">
        <v>1.5</v>
      </c>
      <c r="G1163" s="40">
        <v>46174.0</v>
      </c>
    </row>
    <row r="1164" ht="15.75" customHeight="1">
      <c r="A1164" s="4" t="s">
        <v>38</v>
      </c>
      <c r="B1164" s="4" t="s">
        <v>1505</v>
      </c>
      <c r="C1164" s="4" t="s">
        <v>1506</v>
      </c>
      <c r="D1164" s="4" t="s">
        <v>273</v>
      </c>
      <c r="E1164" s="4" t="s">
        <v>1527</v>
      </c>
      <c r="F1164" s="14">
        <v>1.0</v>
      </c>
      <c r="G1164" s="40">
        <v>46174.0</v>
      </c>
    </row>
    <row r="1165" ht="15.75" customHeight="1">
      <c r="A1165" s="4" t="s">
        <v>38</v>
      </c>
      <c r="B1165" s="4" t="s">
        <v>1505</v>
      </c>
      <c r="C1165" s="4" t="s">
        <v>1506</v>
      </c>
      <c r="D1165" s="4" t="s">
        <v>273</v>
      </c>
      <c r="E1165" s="4" t="s">
        <v>1528</v>
      </c>
      <c r="F1165" s="14">
        <v>1.0</v>
      </c>
      <c r="G1165" s="40">
        <v>46174.0</v>
      </c>
    </row>
    <row r="1166" ht="15.75" customHeight="1">
      <c r="A1166" s="4" t="s">
        <v>38</v>
      </c>
      <c r="B1166" s="4" t="s">
        <v>1505</v>
      </c>
      <c r="C1166" s="4" t="s">
        <v>1506</v>
      </c>
      <c r="D1166" s="4" t="s">
        <v>194</v>
      </c>
      <c r="E1166" s="4" t="s">
        <v>1529</v>
      </c>
      <c r="F1166" s="14">
        <v>0.5</v>
      </c>
      <c r="G1166" s="40">
        <v>46174.0</v>
      </c>
    </row>
    <row r="1167" ht="15.75" customHeight="1">
      <c r="A1167" s="4" t="s">
        <v>38</v>
      </c>
      <c r="B1167" s="4" t="s">
        <v>1530</v>
      </c>
      <c r="C1167" s="4" t="s">
        <v>1531</v>
      </c>
      <c r="D1167" s="4" t="s">
        <v>363</v>
      </c>
      <c r="E1167" s="4" t="s">
        <v>1532</v>
      </c>
      <c r="F1167" s="14">
        <v>2.0</v>
      </c>
      <c r="G1167" s="40">
        <v>46113.0</v>
      </c>
    </row>
    <row r="1168" ht="15.75" customHeight="1">
      <c r="A1168" s="4" t="s">
        <v>38</v>
      </c>
      <c r="B1168" s="4" t="s">
        <v>1533</v>
      </c>
      <c r="C1168" s="4" t="s">
        <v>1534</v>
      </c>
      <c r="D1168" s="4" t="s">
        <v>194</v>
      </c>
      <c r="E1168" s="4" t="s">
        <v>1535</v>
      </c>
      <c r="F1168" s="14">
        <v>0.5</v>
      </c>
      <c r="G1168" s="40">
        <v>46054.0</v>
      </c>
    </row>
    <row r="1169" ht="15.75" customHeight="1">
      <c r="A1169" s="4" t="s">
        <v>38</v>
      </c>
      <c r="B1169" s="4" t="s">
        <v>1536</v>
      </c>
      <c r="C1169" s="4" t="s">
        <v>1179</v>
      </c>
      <c r="D1169" s="4" t="s">
        <v>273</v>
      </c>
      <c r="E1169" s="4" t="s">
        <v>1537</v>
      </c>
      <c r="F1169" s="14">
        <v>1.0</v>
      </c>
      <c r="G1169" s="40">
        <v>46054.0</v>
      </c>
    </row>
    <row r="1170" ht="15.75" customHeight="1">
      <c r="A1170" s="4" t="s">
        <v>38</v>
      </c>
      <c r="B1170" s="4" t="s">
        <v>1536</v>
      </c>
      <c r="C1170" s="4" t="s">
        <v>1179</v>
      </c>
      <c r="D1170" s="4" t="s">
        <v>194</v>
      </c>
      <c r="E1170" s="4" t="s">
        <v>1538</v>
      </c>
      <c r="F1170" s="14">
        <v>0.5</v>
      </c>
      <c r="G1170" s="40">
        <v>46054.0</v>
      </c>
    </row>
    <row r="1171" ht="15.75" customHeight="1">
      <c r="A1171" s="4" t="s">
        <v>38</v>
      </c>
      <c r="B1171" s="4" t="s">
        <v>1536</v>
      </c>
      <c r="C1171" s="4" t="s">
        <v>1179</v>
      </c>
      <c r="D1171" s="4" t="s">
        <v>273</v>
      </c>
      <c r="E1171" s="4" t="s">
        <v>1539</v>
      </c>
      <c r="F1171" s="14">
        <v>1.0</v>
      </c>
      <c r="G1171" s="40">
        <v>46054.0</v>
      </c>
    </row>
    <row r="1172" ht="15.75" customHeight="1">
      <c r="A1172" s="4" t="s">
        <v>38</v>
      </c>
      <c r="B1172" s="4" t="s">
        <v>1536</v>
      </c>
      <c r="C1172" s="4" t="s">
        <v>1179</v>
      </c>
      <c r="D1172" s="4" t="s">
        <v>194</v>
      </c>
      <c r="E1172" s="4" t="s">
        <v>1540</v>
      </c>
      <c r="F1172" s="14">
        <v>0.5</v>
      </c>
      <c r="G1172" s="40">
        <v>46054.0</v>
      </c>
    </row>
    <row r="1173" ht="15.75" customHeight="1">
      <c r="A1173" s="4" t="s">
        <v>38</v>
      </c>
      <c r="B1173" s="4" t="s">
        <v>1536</v>
      </c>
      <c r="C1173" s="4" t="s">
        <v>1179</v>
      </c>
      <c r="D1173" s="4" t="s">
        <v>194</v>
      </c>
      <c r="E1173" s="4" t="s">
        <v>1541</v>
      </c>
      <c r="F1173" s="14">
        <v>0.5</v>
      </c>
      <c r="G1173" s="40">
        <v>46054.0</v>
      </c>
    </row>
    <row r="1174" ht="15.75" customHeight="1">
      <c r="A1174" s="4" t="s">
        <v>38</v>
      </c>
      <c r="B1174" s="4" t="s">
        <v>58</v>
      </c>
      <c r="C1174" s="4" t="s">
        <v>61</v>
      </c>
      <c r="D1174" s="4" t="s">
        <v>273</v>
      </c>
      <c r="E1174" s="4" t="s">
        <v>1542</v>
      </c>
      <c r="F1174" s="14">
        <v>1.0</v>
      </c>
      <c r="G1174" s="40">
        <v>46023.0</v>
      </c>
    </row>
    <row r="1175" ht="15.75" customHeight="1">
      <c r="A1175" s="4" t="s">
        <v>38</v>
      </c>
      <c r="B1175" s="4" t="s">
        <v>58</v>
      </c>
      <c r="C1175" s="4" t="s">
        <v>61</v>
      </c>
      <c r="D1175" s="4" t="s">
        <v>194</v>
      </c>
      <c r="E1175" s="4" t="s">
        <v>1543</v>
      </c>
      <c r="F1175" s="14">
        <v>0.5</v>
      </c>
      <c r="G1175" s="40">
        <v>46023.0</v>
      </c>
    </row>
    <row r="1176" ht="15.75" customHeight="1">
      <c r="A1176" s="4" t="s">
        <v>38</v>
      </c>
      <c r="B1176" s="4" t="s">
        <v>58</v>
      </c>
      <c r="C1176" s="4" t="s">
        <v>61</v>
      </c>
      <c r="D1176" s="4" t="s">
        <v>273</v>
      </c>
      <c r="E1176" s="4" t="s">
        <v>1544</v>
      </c>
      <c r="F1176" s="14">
        <v>1.0</v>
      </c>
      <c r="G1176" s="40">
        <v>46023.0</v>
      </c>
    </row>
    <row r="1177" ht="15.75" customHeight="1">
      <c r="A1177" s="4" t="s">
        <v>38</v>
      </c>
      <c r="B1177" s="4" t="s">
        <v>58</v>
      </c>
      <c r="C1177" s="4" t="s">
        <v>61</v>
      </c>
      <c r="D1177" s="4" t="s">
        <v>273</v>
      </c>
      <c r="E1177" s="4" t="s">
        <v>1545</v>
      </c>
      <c r="F1177" s="14">
        <v>1.0</v>
      </c>
      <c r="G1177" s="40">
        <v>46023.0</v>
      </c>
    </row>
    <row r="1178" ht="15.75" customHeight="1">
      <c r="A1178" s="4" t="s">
        <v>38</v>
      </c>
      <c r="B1178" s="4" t="s">
        <v>58</v>
      </c>
      <c r="C1178" s="4" t="s">
        <v>61</v>
      </c>
      <c r="D1178" s="4" t="s">
        <v>194</v>
      </c>
      <c r="E1178" s="4" t="s">
        <v>1546</v>
      </c>
      <c r="F1178" s="14">
        <v>0.5</v>
      </c>
      <c r="G1178" s="40">
        <v>46023.0</v>
      </c>
    </row>
    <row r="1179" ht="15.75" customHeight="1">
      <c r="A1179" s="4" t="s">
        <v>38</v>
      </c>
      <c r="B1179" s="4" t="s">
        <v>58</v>
      </c>
      <c r="C1179" s="4" t="s">
        <v>61</v>
      </c>
      <c r="D1179" s="4" t="s">
        <v>273</v>
      </c>
      <c r="E1179" s="4" t="s">
        <v>1547</v>
      </c>
      <c r="F1179" s="14">
        <v>1.0</v>
      </c>
      <c r="G1179" s="40">
        <v>46054.0</v>
      </c>
    </row>
    <row r="1180" ht="15.75" customHeight="1">
      <c r="A1180" s="4" t="s">
        <v>38</v>
      </c>
      <c r="B1180" s="4" t="s">
        <v>58</v>
      </c>
      <c r="C1180" s="4" t="s">
        <v>61</v>
      </c>
      <c r="D1180" s="4" t="s">
        <v>273</v>
      </c>
      <c r="E1180" s="4" t="s">
        <v>1548</v>
      </c>
      <c r="F1180" s="14">
        <v>1.0</v>
      </c>
      <c r="G1180" s="40">
        <v>46054.0</v>
      </c>
    </row>
    <row r="1181" ht="15.75" customHeight="1">
      <c r="A1181" s="4" t="s">
        <v>38</v>
      </c>
      <c r="B1181" s="4" t="s">
        <v>58</v>
      </c>
      <c r="C1181" s="4" t="s">
        <v>61</v>
      </c>
      <c r="D1181" s="4" t="s">
        <v>273</v>
      </c>
      <c r="E1181" s="4" t="s">
        <v>1549</v>
      </c>
      <c r="F1181" s="14">
        <v>1.0</v>
      </c>
      <c r="G1181" s="40">
        <v>46054.0</v>
      </c>
    </row>
    <row r="1182" ht="15.75" customHeight="1">
      <c r="A1182" s="4" t="s">
        <v>38</v>
      </c>
      <c r="B1182" s="4" t="s">
        <v>58</v>
      </c>
      <c r="C1182" s="4" t="s">
        <v>61</v>
      </c>
      <c r="D1182" s="4" t="s">
        <v>194</v>
      </c>
      <c r="E1182" s="4" t="s">
        <v>1550</v>
      </c>
      <c r="F1182" s="14">
        <v>0.5</v>
      </c>
      <c r="G1182" s="40">
        <v>46054.0</v>
      </c>
    </row>
    <row r="1183" ht="15.75" customHeight="1">
      <c r="A1183" s="4" t="s">
        <v>38</v>
      </c>
      <c r="B1183" s="4" t="s">
        <v>58</v>
      </c>
      <c r="C1183" s="4" t="s">
        <v>61</v>
      </c>
      <c r="D1183" s="4" t="s">
        <v>194</v>
      </c>
      <c r="E1183" s="4" t="s">
        <v>1551</v>
      </c>
      <c r="F1183" s="14">
        <v>0.5</v>
      </c>
      <c r="G1183" s="40">
        <v>46054.0</v>
      </c>
    </row>
    <row r="1184" ht="15.75" customHeight="1">
      <c r="A1184" s="4" t="s">
        <v>38</v>
      </c>
      <c r="B1184" s="4" t="s">
        <v>58</v>
      </c>
      <c r="C1184" s="4" t="s">
        <v>61</v>
      </c>
      <c r="D1184" s="4" t="s">
        <v>406</v>
      </c>
      <c r="E1184" s="4" t="s">
        <v>1552</v>
      </c>
      <c r="F1184" s="14">
        <v>0.4166666666666667</v>
      </c>
      <c r="G1184" s="40">
        <v>46054.0</v>
      </c>
    </row>
    <row r="1185" ht="15.75" customHeight="1">
      <c r="A1185" s="4" t="s">
        <v>38</v>
      </c>
      <c r="B1185" s="4" t="s">
        <v>58</v>
      </c>
      <c r="C1185" s="4" t="s">
        <v>61</v>
      </c>
      <c r="D1185" s="4" t="s">
        <v>194</v>
      </c>
      <c r="E1185" s="4" t="s">
        <v>1553</v>
      </c>
      <c r="F1185" s="14">
        <v>0.5</v>
      </c>
      <c r="G1185" s="40">
        <v>46054.0</v>
      </c>
    </row>
    <row r="1186" ht="15.75" customHeight="1">
      <c r="A1186" s="4" t="s">
        <v>38</v>
      </c>
      <c r="B1186" s="4" t="s">
        <v>58</v>
      </c>
      <c r="C1186" s="4" t="s">
        <v>61</v>
      </c>
      <c r="D1186" s="4" t="s">
        <v>406</v>
      </c>
      <c r="E1186" s="4" t="s">
        <v>1554</v>
      </c>
      <c r="F1186" s="14">
        <v>0.4166666666666667</v>
      </c>
      <c r="G1186" s="40">
        <v>46054.0</v>
      </c>
    </row>
    <row r="1187" ht="15.75" customHeight="1">
      <c r="A1187" s="4" t="s">
        <v>38</v>
      </c>
      <c r="B1187" s="4" t="s">
        <v>58</v>
      </c>
      <c r="C1187" s="4" t="s">
        <v>61</v>
      </c>
      <c r="D1187" s="4" t="s">
        <v>194</v>
      </c>
      <c r="E1187" s="4" t="s">
        <v>1555</v>
      </c>
      <c r="F1187" s="14">
        <v>0.5</v>
      </c>
      <c r="G1187" s="40">
        <v>46054.0</v>
      </c>
    </row>
    <row r="1188" ht="15.75" customHeight="1">
      <c r="A1188" s="4" t="s">
        <v>38</v>
      </c>
      <c r="B1188" s="4" t="s">
        <v>58</v>
      </c>
      <c r="C1188" s="4" t="s">
        <v>61</v>
      </c>
      <c r="D1188" s="4" t="s">
        <v>194</v>
      </c>
      <c r="E1188" s="4" t="s">
        <v>1556</v>
      </c>
      <c r="F1188" s="14">
        <v>0.5</v>
      </c>
      <c r="G1188" s="40">
        <v>46054.0</v>
      </c>
    </row>
    <row r="1189" ht="15.75" customHeight="1">
      <c r="A1189" s="4" t="s">
        <v>38</v>
      </c>
      <c r="B1189" s="4" t="s">
        <v>58</v>
      </c>
      <c r="C1189" s="4" t="s">
        <v>61</v>
      </c>
      <c r="D1189" s="4" t="s">
        <v>406</v>
      </c>
      <c r="E1189" s="4" t="s">
        <v>1557</v>
      </c>
      <c r="F1189" s="14">
        <v>0.4166666666666667</v>
      </c>
      <c r="G1189" s="40">
        <v>46054.0</v>
      </c>
    </row>
    <row r="1190" ht="15.75" customHeight="1">
      <c r="A1190" s="4" t="s">
        <v>38</v>
      </c>
      <c r="B1190" s="4" t="s">
        <v>58</v>
      </c>
      <c r="C1190" s="4" t="s">
        <v>61</v>
      </c>
      <c r="D1190" s="4" t="s">
        <v>406</v>
      </c>
      <c r="E1190" s="4" t="s">
        <v>1558</v>
      </c>
      <c r="F1190" s="14">
        <v>0.4166666666666667</v>
      </c>
      <c r="G1190" s="40">
        <v>46054.0</v>
      </c>
    </row>
    <row r="1191" ht="15.75" customHeight="1">
      <c r="A1191" s="4" t="s">
        <v>38</v>
      </c>
      <c r="B1191" s="4" t="s">
        <v>58</v>
      </c>
      <c r="C1191" s="4" t="s">
        <v>61</v>
      </c>
      <c r="D1191" s="4" t="s">
        <v>273</v>
      </c>
      <c r="E1191" s="4" t="s">
        <v>1559</v>
      </c>
      <c r="F1191" s="14">
        <v>1.0</v>
      </c>
      <c r="G1191" s="40">
        <v>46054.0</v>
      </c>
    </row>
    <row r="1192" ht="15.75" customHeight="1">
      <c r="A1192" s="4" t="s">
        <v>38</v>
      </c>
      <c r="B1192" s="4" t="s">
        <v>58</v>
      </c>
      <c r="C1192" s="4" t="s">
        <v>61</v>
      </c>
      <c r="D1192" s="4" t="s">
        <v>406</v>
      </c>
      <c r="E1192" s="4" t="s">
        <v>1560</v>
      </c>
      <c r="F1192" s="14">
        <v>0.4166666666666667</v>
      </c>
      <c r="G1192" s="40">
        <v>46054.0</v>
      </c>
    </row>
    <row r="1193" ht="15.75" customHeight="1">
      <c r="A1193" s="4" t="s">
        <v>38</v>
      </c>
      <c r="B1193" s="4" t="s">
        <v>58</v>
      </c>
      <c r="C1193" s="4" t="s">
        <v>61</v>
      </c>
      <c r="D1193" s="4" t="s">
        <v>194</v>
      </c>
      <c r="E1193" s="4" t="s">
        <v>1561</v>
      </c>
      <c r="F1193" s="14">
        <v>0.5</v>
      </c>
      <c r="G1193" s="40">
        <v>46054.0</v>
      </c>
    </row>
    <row r="1194" ht="15.75" customHeight="1">
      <c r="A1194" s="4" t="s">
        <v>38</v>
      </c>
      <c r="B1194" s="4" t="s">
        <v>58</v>
      </c>
      <c r="C1194" s="4" t="s">
        <v>61</v>
      </c>
      <c r="D1194" s="4" t="s">
        <v>194</v>
      </c>
      <c r="E1194" s="4" t="s">
        <v>1562</v>
      </c>
      <c r="F1194" s="14">
        <v>0.5</v>
      </c>
      <c r="G1194" s="40">
        <v>46054.0</v>
      </c>
    </row>
    <row r="1195" ht="15.75" customHeight="1">
      <c r="A1195" s="4" t="s">
        <v>38</v>
      </c>
      <c r="B1195" s="4" t="s">
        <v>58</v>
      </c>
      <c r="C1195" s="4" t="s">
        <v>61</v>
      </c>
      <c r="D1195" s="4" t="s">
        <v>273</v>
      </c>
      <c r="E1195" s="4" t="s">
        <v>1563</v>
      </c>
      <c r="F1195" s="14">
        <v>1.0</v>
      </c>
      <c r="G1195" s="40">
        <v>46054.0</v>
      </c>
    </row>
    <row r="1196" ht="15.75" customHeight="1">
      <c r="A1196" s="4" t="s">
        <v>38</v>
      </c>
      <c r="B1196" s="4" t="s">
        <v>58</v>
      </c>
      <c r="C1196" s="4" t="s">
        <v>61</v>
      </c>
      <c r="D1196" s="4" t="s">
        <v>194</v>
      </c>
      <c r="E1196" s="4" t="s">
        <v>1564</v>
      </c>
      <c r="F1196" s="14">
        <v>0.5</v>
      </c>
      <c r="G1196" s="40">
        <v>46054.0</v>
      </c>
    </row>
    <row r="1197" ht="15.75" customHeight="1">
      <c r="A1197" s="4" t="s">
        <v>38</v>
      </c>
      <c r="B1197" s="4" t="s">
        <v>58</v>
      </c>
      <c r="C1197" s="4" t="s">
        <v>61</v>
      </c>
      <c r="D1197" s="4" t="s">
        <v>273</v>
      </c>
      <c r="E1197" s="4" t="s">
        <v>1565</v>
      </c>
      <c r="F1197" s="14">
        <v>1.0</v>
      </c>
      <c r="G1197" s="40">
        <v>46054.0</v>
      </c>
    </row>
    <row r="1198" ht="15.75" customHeight="1">
      <c r="A1198" s="4" t="s">
        <v>38</v>
      </c>
      <c r="B1198" s="4" t="s">
        <v>58</v>
      </c>
      <c r="C1198" s="4" t="s">
        <v>61</v>
      </c>
      <c r="D1198" s="4" t="s">
        <v>406</v>
      </c>
      <c r="E1198" s="4" t="s">
        <v>1566</v>
      </c>
      <c r="F1198" s="14">
        <v>0.4166666666666667</v>
      </c>
      <c r="G1198" s="40">
        <v>46054.0</v>
      </c>
    </row>
    <row r="1199" ht="15.75" customHeight="1">
      <c r="A1199" s="4" t="s">
        <v>38</v>
      </c>
      <c r="B1199" s="4" t="s">
        <v>58</v>
      </c>
      <c r="C1199" s="4" t="s">
        <v>61</v>
      </c>
      <c r="D1199" s="4" t="s">
        <v>194</v>
      </c>
      <c r="E1199" s="4" t="s">
        <v>1567</v>
      </c>
      <c r="F1199" s="14">
        <v>0.5</v>
      </c>
      <c r="G1199" s="40">
        <v>46054.0</v>
      </c>
    </row>
    <row r="1200" ht="15.75" customHeight="1">
      <c r="A1200" s="4" t="s">
        <v>38</v>
      </c>
      <c r="B1200" s="4" t="s">
        <v>58</v>
      </c>
      <c r="C1200" s="4" t="s">
        <v>61</v>
      </c>
      <c r="D1200" s="4" t="s">
        <v>273</v>
      </c>
      <c r="E1200" s="4" t="s">
        <v>1568</v>
      </c>
      <c r="F1200" s="14">
        <v>1.0</v>
      </c>
      <c r="G1200" s="40">
        <v>46054.0</v>
      </c>
    </row>
    <row r="1201" ht="15.75" customHeight="1">
      <c r="A1201" s="4" t="s">
        <v>38</v>
      </c>
      <c r="B1201" s="4" t="s">
        <v>58</v>
      </c>
      <c r="C1201" s="4" t="s">
        <v>61</v>
      </c>
      <c r="D1201" s="4" t="s">
        <v>194</v>
      </c>
      <c r="E1201" s="4" t="s">
        <v>1569</v>
      </c>
      <c r="F1201" s="14">
        <v>0.5</v>
      </c>
      <c r="G1201" s="40">
        <v>46054.0</v>
      </c>
    </row>
    <row r="1202" ht="15.75" customHeight="1">
      <c r="A1202" s="4" t="s">
        <v>38</v>
      </c>
      <c r="B1202" s="4" t="s">
        <v>58</v>
      </c>
      <c r="C1202" s="4" t="s">
        <v>61</v>
      </c>
      <c r="D1202" s="4" t="s">
        <v>194</v>
      </c>
      <c r="E1202" s="4" t="s">
        <v>1057</v>
      </c>
      <c r="F1202" s="14">
        <v>0.5</v>
      </c>
      <c r="G1202" s="40">
        <v>46054.0</v>
      </c>
    </row>
    <row r="1203" ht="15.75" customHeight="1">
      <c r="A1203" s="4" t="s">
        <v>38</v>
      </c>
      <c r="B1203" s="4" t="s">
        <v>58</v>
      </c>
      <c r="C1203" s="4" t="s">
        <v>61</v>
      </c>
      <c r="D1203" s="4" t="s">
        <v>273</v>
      </c>
      <c r="E1203" s="4" t="s">
        <v>1570</v>
      </c>
      <c r="F1203" s="14">
        <v>1.0</v>
      </c>
      <c r="G1203" s="40">
        <v>46054.0</v>
      </c>
    </row>
    <row r="1204" ht="15.75" customHeight="1">
      <c r="A1204" s="4" t="s">
        <v>38</v>
      </c>
      <c r="B1204" s="4" t="s">
        <v>58</v>
      </c>
      <c r="C1204" s="4" t="s">
        <v>61</v>
      </c>
      <c r="D1204" s="4" t="s">
        <v>194</v>
      </c>
      <c r="E1204" s="4" t="s">
        <v>1571</v>
      </c>
      <c r="F1204" s="14">
        <v>0.5</v>
      </c>
      <c r="G1204" s="40">
        <v>46054.0</v>
      </c>
    </row>
    <row r="1205" ht="15.75" customHeight="1">
      <c r="A1205" s="4" t="s">
        <v>38</v>
      </c>
      <c r="B1205" s="4" t="s">
        <v>58</v>
      </c>
      <c r="C1205" s="4" t="s">
        <v>61</v>
      </c>
      <c r="D1205" s="4" t="s">
        <v>194</v>
      </c>
      <c r="E1205" s="4" t="s">
        <v>1572</v>
      </c>
      <c r="F1205" s="14">
        <v>0.5</v>
      </c>
      <c r="G1205" s="40">
        <v>46054.0</v>
      </c>
    </row>
    <row r="1206" ht="15.75" customHeight="1">
      <c r="A1206" s="4" t="s">
        <v>38</v>
      </c>
      <c r="B1206" s="4" t="s">
        <v>58</v>
      </c>
      <c r="C1206" s="4" t="s">
        <v>61</v>
      </c>
      <c r="D1206" s="4" t="s">
        <v>273</v>
      </c>
      <c r="E1206" s="4" t="s">
        <v>1573</v>
      </c>
      <c r="F1206" s="14">
        <v>1.0</v>
      </c>
      <c r="G1206" s="40">
        <v>46054.0</v>
      </c>
    </row>
    <row r="1207" ht="15.75" customHeight="1">
      <c r="A1207" s="4" t="s">
        <v>38</v>
      </c>
      <c r="B1207" s="4" t="s">
        <v>58</v>
      </c>
      <c r="C1207" s="4" t="s">
        <v>61</v>
      </c>
      <c r="D1207" s="4" t="s">
        <v>194</v>
      </c>
      <c r="E1207" s="4" t="s">
        <v>642</v>
      </c>
      <c r="F1207" s="14">
        <v>0.5</v>
      </c>
      <c r="G1207" s="40">
        <v>46054.0</v>
      </c>
    </row>
    <row r="1208" ht="15.75" customHeight="1">
      <c r="A1208" s="4" t="s">
        <v>38</v>
      </c>
      <c r="B1208" s="4" t="s">
        <v>58</v>
      </c>
      <c r="C1208" s="4" t="s">
        <v>61</v>
      </c>
      <c r="D1208" s="4" t="s">
        <v>194</v>
      </c>
      <c r="E1208" s="4" t="s">
        <v>1574</v>
      </c>
      <c r="F1208" s="14">
        <v>0.5</v>
      </c>
      <c r="G1208" s="40">
        <v>46054.0</v>
      </c>
    </row>
    <row r="1209" ht="15.75" customHeight="1">
      <c r="A1209" s="4" t="s">
        <v>38</v>
      </c>
      <c r="B1209" s="4" t="s">
        <v>58</v>
      </c>
      <c r="C1209" s="4" t="s">
        <v>61</v>
      </c>
      <c r="D1209" s="4" t="s">
        <v>194</v>
      </c>
      <c r="E1209" s="4" t="s">
        <v>1575</v>
      </c>
      <c r="F1209" s="14">
        <v>0.5</v>
      </c>
      <c r="G1209" s="40">
        <v>46054.0</v>
      </c>
    </row>
    <row r="1210" ht="15.75" customHeight="1">
      <c r="A1210" s="4" t="s">
        <v>38</v>
      </c>
      <c r="B1210" s="4" t="s">
        <v>58</v>
      </c>
      <c r="C1210" s="4" t="s">
        <v>61</v>
      </c>
      <c r="D1210" s="4" t="s">
        <v>194</v>
      </c>
      <c r="E1210" s="4" t="s">
        <v>1576</v>
      </c>
      <c r="F1210" s="14">
        <v>0.5</v>
      </c>
      <c r="G1210" s="40">
        <v>46082.0</v>
      </c>
    </row>
    <row r="1211" ht="15.75" customHeight="1">
      <c r="A1211" s="4" t="s">
        <v>38</v>
      </c>
      <c r="B1211" s="4" t="s">
        <v>58</v>
      </c>
      <c r="C1211" s="4" t="s">
        <v>61</v>
      </c>
      <c r="D1211" s="4" t="s">
        <v>194</v>
      </c>
      <c r="E1211" s="4" t="s">
        <v>1577</v>
      </c>
      <c r="F1211" s="14">
        <v>0.5</v>
      </c>
      <c r="G1211" s="40">
        <v>46082.0</v>
      </c>
    </row>
    <row r="1212" ht="15.75" customHeight="1">
      <c r="A1212" s="4" t="s">
        <v>38</v>
      </c>
      <c r="B1212" s="4" t="s">
        <v>58</v>
      </c>
      <c r="C1212" s="4" t="s">
        <v>61</v>
      </c>
      <c r="D1212" s="4" t="s">
        <v>194</v>
      </c>
      <c r="E1212" s="4" t="s">
        <v>1578</v>
      </c>
      <c r="F1212" s="14">
        <v>0.5</v>
      </c>
      <c r="G1212" s="40">
        <v>46082.0</v>
      </c>
    </row>
    <row r="1213" ht="15.75" customHeight="1">
      <c r="A1213" s="4" t="s">
        <v>38</v>
      </c>
      <c r="B1213" s="4" t="s">
        <v>58</v>
      </c>
      <c r="C1213" s="4" t="s">
        <v>61</v>
      </c>
      <c r="D1213" s="4" t="s">
        <v>273</v>
      </c>
      <c r="E1213" s="4" t="s">
        <v>1579</v>
      </c>
      <c r="F1213" s="14">
        <v>1.0</v>
      </c>
      <c r="G1213" s="40">
        <v>46082.0</v>
      </c>
    </row>
    <row r="1214" ht="15.75" customHeight="1">
      <c r="A1214" s="4" t="s">
        <v>38</v>
      </c>
      <c r="B1214" s="4" t="s">
        <v>58</v>
      </c>
      <c r="C1214" s="4" t="s">
        <v>61</v>
      </c>
      <c r="D1214" s="4" t="s">
        <v>273</v>
      </c>
      <c r="E1214" s="4" t="s">
        <v>1064</v>
      </c>
      <c r="F1214" s="14">
        <v>1.0</v>
      </c>
      <c r="G1214" s="40">
        <v>46082.0</v>
      </c>
    </row>
    <row r="1215" ht="15.75" customHeight="1">
      <c r="A1215" s="4" t="s">
        <v>38</v>
      </c>
      <c r="B1215" s="4" t="s">
        <v>58</v>
      </c>
      <c r="C1215" s="4" t="s">
        <v>61</v>
      </c>
      <c r="D1215" s="4" t="s">
        <v>194</v>
      </c>
      <c r="E1215" s="4" t="s">
        <v>1580</v>
      </c>
      <c r="F1215" s="14">
        <v>0.5</v>
      </c>
      <c r="G1215" s="40">
        <v>46082.0</v>
      </c>
    </row>
    <row r="1216" ht="15.75" customHeight="1">
      <c r="A1216" s="4" t="s">
        <v>38</v>
      </c>
      <c r="B1216" s="4" t="s">
        <v>58</v>
      </c>
      <c r="C1216" s="4" t="s">
        <v>61</v>
      </c>
      <c r="D1216" s="4" t="s">
        <v>406</v>
      </c>
      <c r="E1216" s="4" t="s">
        <v>1581</v>
      </c>
      <c r="F1216" s="14">
        <v>0.4166666666666667</v>
      </c>
      <c r="G1216" s="40">
        <v>46082.0</v>
      </c>
    </row>
    <row r="1217" ht="15.75" customHeight="1">
      <c r="A1217" s="4" t="s">
        <v>38</v>
      </c>
      <c r="B1217" s="4" t="s">
        <v>58</v>
      </c>
      <c r="C1217" s="4" t="s">
        <v>61</v>
      </c>
      <c r="D1217" s="4" t="s">
        <v>194</v>
      </c>
      <c r="E1217" s="4" t="s">
        <v>1582</v>
      </c>
      <c r="F1217" s="14">
        <v>0.5</v>
      </c>
      <c r="G1217" s="40">
        <v>46082.0</v>
      </c>
    </row>
    <row r="1218" ht="15.75" customHeight="1">
      <c r="A1218" s="4" t="s">
        <v>38</v>
      </c>
      <c r="B1218" s="4" t="s">
        <v>58</v>
      </c>
      <c r="C1218" s="4" t="s">
        <v>61</v>
      </c>
      <c r="D1218" s="4" t="s">
        <v>194</v>
      </c>
      <c r="E1218" s="4" t="s">
        <v>1583</v>
      </c>
      <c r="F1218" s="14">
        <v>0.5</v>
      </c>
      <c r="G1218" s="40">
        <v>46082.0</v>
      </c>
    </row>
    <row r="1219" ht="15.75" customHeight="1">
      <c r="A1219" s="4" t="s">
        <v>38</v>
      </c>
      <c r="B1219" s="4" t="s">
        <v>58</v>
      </c>
      <c r="C1219" s="4" t="s">
        <v>61</v>
      </c>
      <c r="D1219" s="4" t="s">
        <v>406</v>
      </c>
      <c r="E1219" s="4" t="s">
        <v>1584</v>
      </c>
      <c r="F1219" s="14">
        <v>0.4166666666666667</v>
      </c>
      <c r="G1219" s="40">
        <v>46082.0</v>
      </c>
    </row>
    <row r="1220" ht="15.75" customHeight="1">
      <c r="A1220" s="4" t="s">
        <v>38</v>
      </c>
      <c r="B1220" s="4" t="s">
        <v>58</v>
      </c>
      <c r="C1220" s="4" t="s">
        <v>61</v>
      </c>
      <c r="D1220" s="4" t="s">
        <v>273</v>
      </c>
      <c r="E1220" s="4" t="s">
        <v>1585</v>
      </c>
      <c r="F1220" s="14">
        <v>1.0</v>
      </c>
      <c r="G1220" s="40">
        <v>46082.0</v>
      </c>
    </row>
    <row r="1221" ht="15.75" customHeight="1">
      <c r="A1221" s="4" t="s">
        <v>38</v>
      </c>
      <c r="B1221" s="4" t="s">
        <v>58</v>
      </c>
      <c r="C1221" s="4" t="s">
        <v>61</v>
      </c>
      <c r="D1221" s="4" t="s">
        <v>194</v>
      </c>
      <c r="E1221" s="4" t="s">
        <v>1586</v>
      </c>
      <c r="F1221" s="14">
        <v>0.5</v>
      </c>
      <c r="G1221" s="40">
        <v>46082.0</v>
      </c>
    </row>
    <row r="1222" ht="15.75" customHeight="1">
      <c r="A1222" s="4" t="s">
        <v>38</v>
      </c>
      <c r="B1222" s="4" t="s">
        <v>58</v>
      </c>
      <c r="C1222" s="4" t="s">
        <v>61</v>
      </c>
      <c r="D1222" s="4" t="s">
        <v>194</v>
      </c>
      <c r="E1222" s="4" t="s">
        <v>1587</v>
      </c>
      <c r="F1222" s="14">
        <v>0.5</v>
      </c>
      <c r="G1222" s="40">
        <v>46082.0</v>
      </c>
    </row>
    <row r="1223" ht="15.75" customHeight="1">
      <c r="A1223" s="4" t="s">
        <v>38</v>
      </c>
      <c r="B1223" s="4" t="s">
        <v>58</v>
      </c>
      <c r="C1223" s="4" t="s">
        <v>61</v>
      </c>
      <c r="D1223" s="4" t="s">
        <v>273</v>
      </c>
      <c r="E1223" s="4" t="s">
        <v>1588</v>
      </c>
      <c r="F1223" s="14">
        <v>1.0</v>
      </c>
      <c r="G1223" s="40">
        <v>46082.0</v>
      </c>
    </row>
    <row r="1224" ht="15.75" customHeight="1">
      <c r="A1224" s="4" t="s">
        <v>38</v>
      </c>
      <c r="B1224" s="4" t="s">
        <v>58</v>
      </c>
      <c r="C1224" s="4" t="s">
        <v>61</v>
      </c>
      <c r="D1224" s="4" t="s">
        <v>194</v>
      </c>
      <c r="E1224" s="4" t="s">
        <v>1589</v>
      </c>
      <c r="F1224" s="14">
        <v>0.5</v>
      </c>
      <c r="G1224" s="40">
        <v>46082.0</v>
      </c>
    </row>
    <row r="1225" ht="15.75" customHeight="1">
      <c r="A1225" s="4" t="s">
        <v>38</v>
      </c>
      <c r="B1225" s="4" t="s">
        <v>58</v>
      </c>
      <c r="C1225" s="4" t="s">
        <v>61</v>
      </c>
      <c r="D1225" s="4" t="s">
        <v>273</v>
      </c>
      <c r="E1225" s="4" t="s">
        <v>1590</v>
      </c>
      <c r="F1225" s="14">
        <v>1.0</v>
      </c>
      <c r="G1225" s="40">
        <v>46082.0</v>
      </c>
    </row>
    <row r="1226" ht="15.75" customHeight="1">
      <c r="A1226" s="4" t="s">
        <v>38</v>
      </c>
      <c r="B1226" s="4" t="s">
        <v>58</v>
      </c>
      <c r="C1226" s="4" t="s">
        <v>61</v>
      </c>
      <c r="D1226" s="4" t="s">
        <v>194</v>
      </c>
      <c r="E1226" s="4" t="s">
        <v>1591</v>
      </c>
      <c r="F1226" s="14">
        <v>0.5</v>
      </c>
      <c r="G1226" s="40">
        <v>46082.0</v>
      </c>
    </row>
    <row r="1227" ht="15.75" customHeight="1">
      <c r="A1227" s="4" t="s">
        <v>38</v>
      </c>
      <c r="B1227" s="4" t="s">
        <v>58</v>
      </c>
      <c r="C1227" s="4" t="s">
        <v>61</v>
      </c>
      <c r="D1227" s="4" t="s">
        <v>194</v>
      </c>
      <c r="E1227" s="4" t="s">
        <v>1592</v>
      </c>
      <c r="F1227" s="14">
        <v>0.5</v>
      </c>
      <c r="G1227" s="40">
        <v>46082.0</v>
      </c>
    </row>
    <row r="1228" ht="15.75" customHeight="1">
      <c r="A1228" s="4" t="s">
        <v>38</v>
      </c>
      <c r="B1228" s="4" t="s">
        <v>58</v>
      </c>
      <c r="C1228" s="4" t="s">
        <v>61</v>
      </c>
      <c r="D1228" s="4" t="s">
        <v>194</v>
      </c>
      <c r="E1228" s="4" t="s">
        <v>1593</v>
      </c>
      <c r="F1228" s="14">
        <v>0.5</v>
      </c>
      <c r="G1228" s="40">
        <v>46082.0</v>
      </c>
    </row>
    <row r="1229" ht="15.75" customHeight="1">
      <c r="A1229" s="4" t="s">
        <v>38</v>
      </c>
      <c r="B1229" s="4" t="s">
        <v>58</v>
      </c>
      <c r="C1229" s="4" t="s">
        <v>61</v>
      </c>
      <c r="D1229" s="4" t="s">
        <v>194</v>
      </c>
      <c r="E1229" s="4" t="s">
        <v>1594</v>
      </c>
      <c r="F1229" s="14">
        <v>0.5</v>
      </c>
      <c r="G1229" s="40">
        <v>46082.0</v>
      </c>
    </row>
    <row r="1230" ht="15.75" customHeight="1">
      <c r="A1230" s="4" t="s">
        <v>38</v>
      </c>
      <c r="B1230" s="4" t="s">
        <v>58</v>
      </c>
      <c r="C1230" s="4" t="s">
        <v>61</v>
      </c>
      <c r="D1230" s="4" t="s">
        <v>194</v>
      </c>
      <c r="E1230" s="4" t="s">
        <v>1595</v>
      </c>
      <c r="F1230" s="14">
        <v>0.5</v>
      </c>
      <c r="G1230" s="40">
        <v>46082.0</v>
      </c>
    </row>
    <row r="1231" ht="15.75" customHeight="1">
      <c r="A1231" s="4" t="s">
        <v>38</v>
      </c>
      <c r="B1231" s="4" t="s">
        <v>58</v>
      </c>
      <c r="C1231" s="4" t="s">
        <v>61</v>
      </c>
      <c r="D1231" s="4" t="s">
        <v>194</v>
      </c>
      <c r="E1231" s="4" t="s">
        <v>1596</v>
      </c>
      <c r="F1231" s="14">
        <v>0.5</v>
      </c>
      <c r="G1231" s="40">
        <v>46113.0</v>
      </c>
    </row>
    <row r="1232" ht="15.75" customHeight="1">
      <c r="A1232" s="4" t="s">
        <v>38</v>
      </c>
      <c r="B1232" s="4" t="s">
        <v>58</v>
      </c>
      <c r="C1232" s="4" t="s">
        <v>61</v>
      </c>
      <c r="D1232" s="4" t="s">
        <v>194</v>
      </c>
      <c r="E1232" s="4" t="s">
        <v>1597</v>
      </c>
      <c r="F1232" s="14">
        <v>0.5</v>
      </c>
      <c r="G1232" s="40">
        <v>46113.0</v>
      </c>
    </row>
    <row r="1233" ht="15.75" customHeight="1">
      <c r="A1233" s="4" t="s">
        <v>38</v>
      </c>
      <c r="B1233" s="4" t="s">
        <v>58</v>
      </c>
      <c r="C1233" s="4" t="s">
        <v>61</v>
      </c>
      <c r="D1233" s="4" t="s">
        <v>194</v>
      </c>
      <c r="E1233" s="4" t="s">
        <v>1598</v>
      </c>
      <c r="F1233" s="14">
        <v>0.5</v>
      </c>
      <c r="G1233" s="40">
        <v>46113.0</v>
      </c>
    </row>
    <row r="1234" ht="15.75" customHeight="1">
      <c r="A1234" s="4" t="s">
        <v>38</v>
      </c>
      <c r="B1234" s="4" t="s">
        <v>58</v>
      </c>
      <c r="C1234" s="4" t="s">
        <v>61</v>
      </c>
      <c r="D1234" s="4" t="s">
        <v>273</v>
      </c>
      <c r="E1234" s="4" t="s">
        <v>1599</v>
      </c>
      <c r="F1234" s="14">
        <v>1.0</v>
      </c>
      <c r="G1234" s="40">
        <v>46113.0</v>
      </c>
    </row>
    <row r="1235" ht="15.75" customHeight="1">
      <c r="A1235" s="4" t="s">
        <v>38</v>
      </c>
      <c r="B1235" s="4" t="s">
        <v>58</v>
      </c>
      <c r="C1235" s="4" t="s">
        <v>61</v>
      </c>
      <c r="D1235" s="4" t="s">
        <v>194</v>
      </c>
      <c r="E1235" s="4" t="s">
        <v>1600</v>
      </c>
      <c r="F1235" s="14">
        <v>0.5</v>
      </c>
      <c r="G1235" s="40">
        <v>46113.0</v>
      </c>
    </row>
    <row r="1236" ht="15.75" customHeight="1">
      <c r="A1236" s="4" t="s">
        <v>38</v>
      </c>
      <c r="B1236" s="4" t="s">
        <v>58</v>
      </c>
      <c r="C1236" s="4" t="s">
        <v>61</v>
      </c>
      <c r="D1236" s="4" t="s">
        <v>194</v>
      </c>
      <c r="E1236" s="4" t="s">
        <v>1601</v>
      </c>
      <c r="F1236" s="14">
        <v>0.5</v>
      </c>
      <c r="G1236" s="40">
        <v>46113.0</v>
      </c>
    </row>
    <row r="1237" ht="15.75" customHeight="1">
      <c r="A1237" s="4" t="s">
        <v>38</v>
      </c>
      <c r="B1237" s="4" t="s">
        <v>58</v>
      </c>
      <c r="C1237" s="4" t="s">
        <v>61</v>
      </c>
      <c r="D1237" s="4" t="s">
        <v>194</v>
      </c>
      <c r="E1237" s="4" t="s">
        <v>1602</v>
      </c>
      <c r="F1237" s="14">
        <v>0.5</v>
      </c>
      <c r="G1237" s="40">
        <v>46113.0</v>
      </c>
    </row>
    <row r="1238" ht="15.75" customHeight="1">
      <c r="A1238" s="4" t="s">
        <v>38</v>
      </c>
      <c r="B1238" s="4" t="s">
        <v>58</v>
      </c>
      <c r="C1238" s="4" t="s">
        <v>61</v>
      </c>
      <c r="D1238" s="4" t="s">
        <v>194</v>
      </c>
      <c r="E1238" s="4" t="s">
        <v>1603</v>
      </c>
      <c r="F1238" s="14">
        <v>0.5</v>
      </c>
      <c r="G1238" s="40">
        <v>46113.0</v>
      </c>
    </row>
    <row r="1239" ht="15.75" customHeight="1">
      <c r="A1239" s="4" t="s">
        <v>38</v>
      </c>
      <c r="B1239" s="4" t="s">
        <v>58</v>
      </c>
      <c r="C1239" s="4" t="s">
        <v>61</v>
      </c>
      <c r="D1239" s="4" t="s">
        <v>194</v>
      </c>
      <c r="E1239" s="4" t="s">
        <v>648</v>
      </c>
      <c r="F1239" s="14">
        <v>0.5</v>
      </c>
      <c r="G1239" s="40">
        <v>46113.0</v>
      </c>
    </row>
    <row r="1240" ht="15.75" customHeight="1">
      <c r="A1240" s="4" t="s">
        <v>38</v>
      </c>
      <c r="B1240" s="4" t="s">
        <v>58</v>
      </c>
      <c r="C1240" s="4" t="s">
        <v>61</v>
      </c>
      <c r="D1240" s="4" t="s">
        <v>194</v>
      </c>
      <c r="E1240" s="4" t="s">
        <v>1604</v>
      </c>
      <c r="F1240" s="14">
        <v>0.5</v>
      </c>
      <c r="G1240" s="40">
        <v>46113.0</v>
      </c>
    </row>
    <row r="1241" ht="15.75" customHeight="1">
      <c r="A1241" s="4" t="s">
        <v>38</v>
      </c>
      <c r="B1241" s="4" t="s">
        <v>58</v>
      </c>
      <c r="C1241" s="4" t="s">
        <v>61</v>
      </c>
      <c r="D1241" s="4" t="s">
        <v>273</v>
      </c>
      <c r="E1241" s="4" t="s">
        <v>1605</v>
      </c>
      <c r="F1241" s="14">
        <v>1.0</v>
      </c>
      <c r="G1241" s="40">
        <v>46113.0</v>
      </c>
    </row>
    <row r="1242" ht="15.75" customHeight="1">
      <c r="A1242" s="4" t="s">
        <v>38</v>
      </c>
      <c r="B1242" s="4" t="s">
        <v>58</v>
      </c>
      <c r="C1242" s="4" t="s">
        <v>61</v>
      </c>
      <c r="D1242" s="4" t="s">
        <v>194</v>
      </c>
      <c r="E1242" s="4" t="s">
        <v>1606</v>
      </c>
      <c r="F1242" s="14">
        <v>0.5</v>
      </c>
      <c r="G1242" s="40">
        <v>46113.0</v>
      </c>
    </row>
    <row r="1243" ht="15.75" customHeight="1">
      <c r="A1243" s="4" t="s">
        <v>38</v>
      </c>
      <c r="B1243" s="4" t="s">
        <v>58</v>
      </c>
      <c r="C1243" s="4" t="s">
        <v>61</v>
      </c>
      <c r="D1243" s="4" t="s">
        <v>194</v>
      </c>
      <c r="E1243" s="4" t="s">
        <v>1607</v>
      </c>
      <c r="F1243" s="14">
        <v>0.5</v>
      </c>
      <c r="G1243" s="40">
        <v>46113.0</v>
      </c>
    </row>
    <row r="1244" ht="15.75" customHeight="1">
      <c r="A1244" s="4" t="s">
        <v>38</v>
      </c>
      <c r="B1244" s="4" t="s">
        <v>58</v>
      </c>
      <c r="C1244" s="4" t="s">
        <v>61</v>
      </c>
      <c r="D1244" s="4" t="s">
        <v>194</v>
      </c>
      <c r="E1244" s="4" t="s">
        <v>1608</v>
      </c>
      <c r="F1244" s="14">
        <v>0.5</v>
      </c>
      <c r="G1244" s="40">
        <v>46143.0</v>
      </c>
    </row>
    <row r="1245" ht="15.75" customHeight="1">
      <c r="A1245" s="4" t="s">
        <v>38</v>
      </c>
      <c r="B1245" s="4" t="s">
        <v>58</v>
      </c>
      <c r="C1245" s="4" t="s">
        <v>61</v>
      </c>
      <c r="D1245" s="4" t="s">
        <v>194</v>
      </c>
      <c r="E1245" s="4" t="s">
        <v>1609</v>
      </c>
      <c r="F1245" s="14">
        <v>0.5</v>
      </c>
      <c r="G1245" s="40">
        <v>46143.0</v>
      </c>
    </row>
    <row r="1246" ht="15.75" customHeight="1">
      <c r="A1246" s="4" t="s">
        <v>38</v>
      </c>
      <c r="B1246" s="4" t="s">
        <v>58</v>
      </c>
      <c r="C1246" s="4" t="s">
        <v>61</v>
      </c>
      <c r="D1246" s="4" t="s">
        <v>194</v>
      </c>
      <c r="E1246" s="4" t="s">
        <v>1610</v>
      </c>
      <c r="F1246" s="14">
        <v>0.5</v>
      </c>
      <c r="G1246" s="40">
        <v>46143.0</v>
      </c>
    </row>
    <row r="1247" ht="15.75" customHeight="1">
      <c r="A1247" s="4" t="s">
        <v>38</v>
      </c>
      <c r="B1247" s="4" t="s">
        <v>58</v>
      </c>
      <c r="C1247" s="4" t="s">
        <v>61</v>
      </c>
      <c r="D1247" s="4" t="s">
        <v>194</v>
      </c>
      <c r="E1247" s="4" t="s">
        <v>1611</v>
      </c>
      <c r="F1247" s="14">
        <v>0.5</v>
      </c>
      <c r="G1247" s="40">
        <v>46143.0</v>
      </c>
    </row>
    <row r="1248" ht="15.75" customHeight="1">
      <c r="A1248" s="4" t="s">
        <v>38</v>
      </c>
      <c r="B1248" s="4" t="s">
        <v>58</v>
      </c>
      <c r="C1248" s="4" t="s">
        <v>61</v>
      </c>
      <c r="D1248" s="4" t="s">
        <v>194</v>
      </c>
      <c r="E1248" s="4" t="s">
        <v>1612</v>
      </c>
      <c r="F1248" s="14">
        <v>0.5</v>
      </c>
      <c r="G1248" s="40">
        <v>46143.0</v>
      </c>
    </row>
    <row r="1249" ht="15.75" customHeight="1">
      <c r="A1249" s="4" t="s">
        <v>38</v>
      </c>
      <c r="B1249" s="4" t="s">
        <v>58</v>
      </c>
      <c r="C1249" s="4" t="s">
        <v>61</v>
      </c>
      <c r="D1249" s="4" t="s">
        <v>273</v>
      </c>
      <c r="E1249" s="4" t="s">
        <v>1613</v>
      </c>
      <c r="F1249" s="14">
        <v>1.0</v>
      </c>
      <c r="G1249" s="40">
        <v>46143.0</v>
      </c>
    </row>
    <row r="1250" ht="15.75" customHeight="1">
      <c r="A1250" s="4" t="s">
        <v>38</v>
      </c>
      <c r="B1250" s="4" t="s">
        <v>58</v>
      </c>
      <c r="C1250" s="4" t="s">
        <v>61</v>
      </c>
      <c r="D1250" s="4" t="s">
        <v>194</v>
      </c>
      <c r="E1250" s="4" t="s">
        <v>1614</v>
      </c>
      <c r="F1250" s="14">
        <v>0.5</v>
      </c>
      <c r="G1250" s="40">
        <v>46143.0</v>
      </c>
    </row>
    <row r="1251" ht="15.75" customHeight="1">
      <c r="A1251" s="4" t="s">
        <v>38</v>
      </c>
      <c r="B1251" s="4" t="s">
        <v>58</v>
      </c>
      <c r="C1251" s="4" t="s">
        <v>61</v>
      </c>
      <c r="D1251" s="4" t="s">
        <v>194</v>
      </c>
      <c r="E1251" s="4" t="s">
        <v>1615</v>
      </c>
      <c r="F1251" s="14">
        <v>0.5</v>
      </c>
      <c r="G1251" s="40">
        <v>46143.0</v>
      </c>
    </row>
    <row r="1252" ht="15.75" customHeight="1">
      <c r="A1252" s="4" t="s">
        <v>38</v>
      </c>
      <c r="B1252" s="4" t="s">
        <v>58</v>
      </c>
      <c r="C1252" s="4" t="s">
        <v>61</v>
      </c>
      <c r="D1252" s="4" t="s">
        <v>194</v>
      </c>
      <c r="E1252" s="4" t="s">
        <v>1616</v>
      </c>
      <c r="F1252" s="14">
        <v>0.5</v>
      </c>
      <c r="G1252" s="40">
        <v>46143.0</v>
      </c>
    </row>
    <row r="1253" ht="15.75" customHeight="1">
      <c r="A1253" s="4" t="s">
        <v>38</v>
      </c>
      <c r="B1253" s="4" t="s">
        <v>58</v>
      </c>
      <c r="C1253" s="4" t="s">
        <v>61</v>
      </c>
      <c r="D1253" s="4" t="s">
        <v>194</v>
      </c>
      <c r="E1253" s="4" t="s">
        <v>1617</v>
      </c>
      <c r="F1253" s="14">
        <v>0.5</v>
      </c>
      <c r="G1253" s="40">
        <v>46143.0</v>
      </c>
    </row>
    <row r="1254" ht="15.75" customHeight="1">
      <c r="A1254" s="4" t="s">
        <v>38</v>
      </c>
      <c r="B1254" s="4" t="s">
        <v>58</v>
      </c>
      <c r="C1254" s="4" t="s">
        <v>61</v>
      </c>
      <c r="D1254" s="4" t="s">
        <v>194</v>
      </c>
      <c r="E1254" s="4" t="s">
        <v>1618</v>
      </c>
      <c r="F1254" s="14">
        <v>0.5</v>
      </c>
      <c r="G1254" s="40">
        <v>46143.0</v>
      </c>
    </row>
    <row r="1255" ht="15.75" customHeight="1">
      <c r="A1255" s="4" t="s">
        <v>38</v>
      </c>
      <c r="B1255" s="4" t="s">
        <v>58</v>
      </c>
      <c r="C1255" s="4" t="s">
        <v>61</v>
      </c>
      <c r="D1255" s="4" t="s">
        <v>194</v>
      </c>
      <c r="E1255" s="4" t="s">
        <v>1619</v>
      </c>
      <c r="F1255" s="14">
        <v>0.5</v>
      </c>
      <c r="G1255" s="40">
        <v>46143.0</v>
      </c>
    </row>
    <row r="1256" ht="15.75" customHeight="1">
      <c r="A1256" s="4" t="s">
        <v>38</v>
      </c>
      <c r="B1256" s="4" t="s">
        <v>58</v>
      </c>
      <c r="C1256" s="4" t="s">
        <v>61</v>
      </c>
      <c r="D1256" s="4" t="s">
        <v>194</v>
      </c>
      <c r="E1256" s="4" t="s">
        <v>1620</v>
      </c>
      <c r="F1256" s="14">
        <v>0.5</v>
      </c>
      <c r="G1256" s="40">
        <v>46174.0</v>
      </c>
    </row>
    <row r="1257" ht="15.75" customHeight="1">
      <c r="A1257" s="4" t="s">
        <v>38</v>
      </c>
      <c r="B1257" s="4" t="s">
        <v>58</v>
      </c>
      <c r="C1257" s="4" t="s">
        <v>61</v>
      </c>
      <c r="D1257" s="4" t="s">
        <v>194</v>
      </c>
      <c r="E1257" s="4" t="s">
        <v>1621</v>
      </c>
      <c r="F1257" s="14">
        <v>0.5</v>
      </c>
      <c r="G1257" s="40">
        <v>46174.0</v>
      </c>
    </row>
    <row r="1258" ht="15.75" customHeight="1">
      <c r="A1258" s="4" t="s">
        <v>38</v>
      </c>
      <c r="B1258" s="4" t="s">
        <v>58</v>
      </c>
      <c r="C1258" s="4" t="s">
        <v>61</v>
      </c>
      <c r="D1258" s="4" t="s">
        <v>194</v>
      </c>
      <c r="E1258" s="4" t="s">
        <v>1622</v>
      </c>
      <c r="F1258" s="14">
        <v>0.5</v>
      </c>
      <c r="G1258" s="40">
        <v>46174.0</v>
      </c>
    </row>
    <row r="1259" ht="15.75" customHeight="1">
      <c r="A1259" s="4" t="s">
        <v>38</v>
      </c>
      <c r="B1259" s="4" t="s">
        <v>58</v>
      </c>
      <c r="C1259" s="4" t="s">
        <v>61</v>
      </c>
      <c r="D1259" s="4" t="s">
        <v>194</v>
      </c>
      <c r="E1259" s="4" t="s">
        <v>1623</v>
      </c>
      <c r="F1259" s="14">
        <v>0.5</v>
      </c>
      <c r="G1259" s="40">
        <v>46174.0</v>
      </c>
    </row>
    <row r="1260" ht="15.75" customHeight="1">
      <c r="A1260" s="4" t="s">
        <v>38</v>
      </c>
      <c r="B1260" s="4" t="s">
        <v>58</v>
      </c>
      <c r="C1260" s="4" t="s">
        <v>61</v>
      </c>
      <c r="D1260" s="4" t="s">
        <v>406</v>
      </c>
      <c r="E1260" s="4" t="s">
        <v>1624</v>
      </c>
      <c r="F1260" s="14">
        <v>0.4166666666666667</v>
      </c>
      <c r="G1260" s="40">
        <v>46174.0</v>
      </c>
    </row>
    <row r="1261" ht="15.75" customHeight="1">
      <c r="A1261" s="4" t="s">
        <v>38</v>
      </c>
      <c r="B1261" s="4" t="s">
        <v>58</v>
      </c>
      <c r="C1261" s="4" t="s">
        <v>61</v>
      </c>
      <c r="D1261" s="4" t="s">
        <v>273</v>
      </c>
      <c r="E1261" s="4" t="s">
        <v>1625</v>
      </c>
      <c r="F1261" s="14">
        <v>1.0</v>
      </c>
      <c r="G1261" s="40">
        <v>46174.0</v>
      </c>
    </row>
    <row r="1262" ht="15.75" customHeight="1">
      <c r="A1262" s="4" t="s">
        <v>38</v>
      </c>
      <c r="B1262" s="4" t="s">
        <v>58</v>
      </c>
      <c r="C1262" s="4" t="s">
        <v>61</v>
      </c>
      <c r="D1262" s="4" t="s">
        <v>194</v>
      </c>
      <c r="E1262" s="4" t="s">
        <v>1626</v>
      </c>
      <c r="F1262" s="14">
        <v>0.5</v>
      </c>
      <c r="G1262" s="40">
        <v>46174.0</v>
      </c>
    </row>
    <row r="1263" ht="15.75" customHeight="1">
      <c r="A1263" s="4" t="s">
        <v>38</v>
      </c>
      <c r="B1263" s="4" t="s">
        <v>58</v>
      </c>
      <c r="C1263" s="4" t="s">
        <v>61</v>
      </c>
      <c r="D1263" s="4" t="s">
        <v>194</v>
      </c>
      <c r="E1263" s="4" t="s">
        <v>1627</v>
      </c>
      <c r="F1263" s="14">
        <v>0.5</v>
      </c>
      <c r="G1263" s="40">
        <v>46174.0</v>
      </c>
    </row>
    <row r="1264" ht="15.75" customHeight="1">
      <c r="A1264" s="4" t="s">
        <v>38</v>
      </c>
      <c r="B1264" s="4" t="s">
        <v>58</v>
      </c>
      <c r="C1264" s="4" t="s">
        <v>61</v>
      </c>
      <c r="D1264" s="4" t="s">
        <v>194</v>
      </c>
      <c r="E1264" s="4" t="s">
        <v>1628</v>
      </c>
      <c r="F1264" s="14">
        <v>0.5</v>
      </c>
      <c r="G1264" s="40">
        <v>46174.0</v>
      </c>
    </row>
    <row r="1265" ht="15.75" customHeight="1">
      <c r="A1265" s="4" t="s">
        <v>38</v>
      </c>
      <c r="B1265" s="4" t="s">
        <v>58</v>
      </c>
      <c r="C1265" s="4" t="s">
        <v>61</v>
      </c>
      <c r="D1265" s="4" t="s">
        <v>194</v>
      </c>
      <c r="E1265" s="4" t="s">
        <v>1629</v>
      </c>
      <c r="F1265" s="14">
        <v>0.5</v>
      </c>
      <c r="G1265" s="40">
        <v>46204.0</v>
      </c>
    </row>
    <row r="1266" ht="15.75" customHeight="1">
      <c r="A1266" s="4" t="s">
        <v>38</v>
      </c>
      <c r="B1266" s="4" t="s">
        <v>58</v>
      </c>
      <c r="C1266" s="4" t="s">
        <v>61</v>
      </c>
      <c r="D1266" s="4" t="s">
        <v>194</v>
      </c>
      <c r="E1266" s="4" t="s">
        <v>1630</v>
      </c>
      <c r="F1266" s="14">
        <v>0.5</v>
      </c>
      <c r="G1266" s="40">
        <v>46204.0</v>
      </c>
    </row>
    <row r="1267" ht="15.75" customHeight="1">
      <c r="A1267" s="4" t="s">
        <v>38</v>
      </c>
      <c r="B1267" s="4" t="s">
        <v>58</v>
      </c>
      <c r="C1267" s="4" t="s">
        <v>61</v>
      </c>
      <c r="D1267" s="4" t="s">
        <v>194</v>
      </c>
      <c r="E1267" s="4" t="s">
        <v>1631</v>
      </c>
      <c r="F1267" s="14">
        <v>0.5</v>
      </c>
      <c r="G1267" s="40">
        <v>46204.0</v>
      </c>
    </row>
    <row r="1268" ht="15.75" customHeight="1">
      <c r="A1268" s="4" t="s">
        <v>38</v>
      </c>
      <c r="B1268" s="4" t="s">
        <v>58</v>
      </c>
      <c r="C1268" s="4" t="s">
        <v>61</v>
      </c>
      <c r="D1268" s="4" t="s">
        <v>194</v>
      </c>
      <c r="E1268" s="4" t="s">
        <v>1632</v>
      </c>
      <c r="F1268" s="14">
        <v>0.5</v>
      </c>
      <c r="G1268" s="40">
        <v>46204.0</v>
      </c>
    </row>
    <row r="1269" ht="15.75" customHeight="1">
      <c r="A1269" s="4" t="s">
        <v>38</v>
      </c>
      <c r="B1269" s="4" t="s">
        <v>58</v>
      </c>
      <c r="C1269" s="4" t="s">
        <v>61</v>
      </c>
      <c r="D1269" s="4" t="s">
        <v>194</v>
      </c>
      <c r="E1269" s="4" t="s">
        <v>1633</v>
      </c>
      <c r="F1269" s="14">
        <v>0.5</v>
      </c>
      <c r="G1269" s="40">
        <v>46204.0</v>
      </c>
    </row>
    <row r="1270" ht="15.75" customHeight="1">
      <c r="A1270" s="4" t="s">
        <v>38</v>
      </c>
      <c r="B1270" s="4" t="s">
        <v>58</v>
      </c>
      <c r="C1270" s="4" t="s">
        <v>61</v>
      </c>
      <c r="D1270" s="4" t="s">
        <v>273</v>
      </c>
      <c r="E1270" s="4" t="s">
        <v>1634</v>
      </c>
      <c r="F1270" s="14">
        <v>1.0</v>
      </c>
      <c r="G1270" s="40">
        <v>46204.0</v>
      </c>
    </row>
    <row r="1271" ht="15.75" customHeight="1">
      <c r="A1271" s="4" t="s">
        <v>38</v>
      </c>
      <c r="B1271" s="4" t="s">
        <v>58</v>
      </c>
      <c r="C1271" s="4" t="s">
        <v>61</v>
      </c>
      <c r="D1271" s="4" t="s">
        <v>194</v>
      </c>
      <c r="E1271" s="4" t="s">
        <v>1635</v>
      </c>
      <c r="F1271" s="14">
        <v>0.5</v>
      </c>
      <c r="G1271" s="40">
        <v>46204.0</v>
      </c>
    </row>
    <row r="1272" ht="15.75" customHeight="1">
      <c r="A1272" s="4" t="s">
        <v>38</v>
      </c>
      <c r="B1272" s="4" t="s">
        <v>58</v>
      </c>
      <c r="C1272" s="4" t="s">
        <v>61</v>
      </c>
      <c r="D1272" s="4" t="s">
        <v>194</v>
      </c>
      <c r="E1272" s="4" t="s">
        <v>1636</v>
      </c>
      <c r="F1272" s="14">
        <v>0.5</v>
      </c>
      <c r="G1272" s="40">
        <v>46204.0</v>
      </c>
    </row>
    <row r="1273" ht="15.75" customHeight="1">
      <c r="A1273" s="4" t="s">
        <v>38</v>
      </c>
      <c r="B1273" s="4" t="s">
        <v>58</v>
      </c>
      <c r="C1273" s="4" t="s">
        <v>61</v>
      </c>
      <c r="D1273" s="4" t="s">
        <v>194</v>
      </c>
      <c r="E1273" s="4" t="s">
        <v>1637</v>
      </c>
      <c r="F1273" s="14">
        <v>0.5</v>
      </c>
      <c r="G1273" s="40">
        <v>46204.0</v>
      </c>
    </row>
    <row r="1274" ht="15.75" customHeight="1">
      <c r="A1274" s="4" t="s">
        <v>38</v>
      </c>
      <c r="B1274" s="4" t="s">
        <v>58</v>
      </c>
      <c r="C1274" s="4" t="s">
        <v>61</v>
      </c>
      <c r="D1274" s="4" t="s">
        <v>194</v>
      </c>
      <c r="E1274" s="4" t="s">
        <v>1638</v>
      </c>
      <c r="F1274" s="14">
        <v>0.5</v>
      </c>
      <c r="G1274" s="40">
        <v>46204.0</v>
      </c>
    </row>
    <row r="1275" ht="15.75" customHeight="1">
      <c r="A1275" s="4" t="s">
        <v>38</v>
      </c>
      <c r="B1275" s="4" t="s">
        <v>58</v>
      </c>
      <c r="C1275" s="4" t="s">
        <v>61</v>
      </c>
      <c r="D1275" s="4" t="s">
        <v>273</v>
      </c>
      <c r="E1275" s="4" t="s">
        <v>1639</v>
      </c>
      <c r="F1275" s="14">
        <v>1.0</v>
      </c>
      <c r="G1275" s="40">
        <v>46204.0</v>
      </c>
    </row>
    <row r="1276" ht="15.75" customHeight="1">
      <c r="A1276" s="4" t="s">
        <v>38</v>
      </c>
      <c r="B1276" s="4" t="s">
        <v>58</v>
      </c>
      <c r="C1276" s="4" t="s">
        <v>61</v>
      </c>
      <c r="D1276" s="4" t="s">
        <v>194</v>
      </c>
      <c r="E1276" s="4" t="s">
        <v>1640</v>
      </c>
      <c r="F1276" s="14">
        <v>0.5</v>
      </c>
      <c r="G1276" s="40">
        <v>46204.0</v>
      </c>
    </row>
    <row r="1277" ht="15.75" customHeight="1">
      <c r="A1277" s="4" t="s">
        <v>38</v>
      </c>
      <c r="B1277" s="4" t="s">
        <v>58</v>
      </c>
      <c r="C1277" s="4" t="s">
        <v>61</v>
      </c>
      <c r="D1277" s="4" t="s">
        <v>273</v>
      </c>
      <c r="E1277" s="4" t="s">
        <v>1641</v>
      </c>
      <c r="F1277" s="14">
        <v>1.0</v>
      </c>
      <c r="G1277" s="40">
        <v>46235.0</v>
      </c>
    </row>
    <row r="1278" ht="15.75" customHeight="1">
      <c r="A1278" s="4" t="s">
        <v>38</v>
      </c>
      <c r="B1278" s="4" t="s">
        <v>58</v>
      </c>
      <c r="C1278" s="4" t="s">
        <v>61</v>
      </c>
      <c r="D1278" s="4" t="s">
        <v>194</v>
      </c>
      <c r="E1278" s="4" t="s">
        <v>1642</v>
      </c>
      <c r="F1278" s="14">
        <v>0.5</v>
      </c>
      <c r="G1278" s="40">
        <v>46235.0</v>
      </c>
    </row>
    <row r="1279" ht="15.75" customHeight="1">
      <c r="A1279" s="4" t="s">
        <v>38</v>
      </c>
      <c r="B1279" s="4" t="s">
        <v>58</v>
      </c>
      <c r="C1279" s="4" t="s">
        <v>61</v>
      </c>
      <c r="D1279" s="4" t="s">
        <v>273</v>
      </c>
      <c r="E1279" s="4" t="s">
        <v>1643</v>
      </c>
      <c r="F1279" s="14">
        <v>1.0</v>
      </c>
      <c r="G1279" s="40">
        <v>46235.0</v>
      </c>
    </row>
    <row r="1280" ht="15.75" customHeight="1">
      <c r="A1280" s="4" t="s">
        <v>38</v>
      </c>
      <c r="B1280" s="4" t="s">
        <v>58</v>
      </c>
      <c r="C1280" s="4" t="s">
        <v>61</v>
      </c>
      <c r="D1280" s="4" t="s">
        <v>194</v>
      </c>
      <c r="E1280" s="4" t="s">
        <v>1644</v>
      </c>
      <c r="F1280" s="14">
        <v>0.5</v>
      </c>
      <c r="G1280" s="40">
        <v>46235.0</v>
      </c>
    </row>
    <row r="1281" ht="15.75" customHeight="1">
      <c r="A1281" s="4" t="s">
        <v>38</v>
      </c>
      <c r="B1281" s="4" t="s">
        <v>48</v>
      </c>
      <c r="C1281" s="4" t="s">
        <v>54</v>
      </c>
      <c r="D1281" s="4" t="s">
        <v>194</v>
      </c>
      <c r="E1281" s="4" t="s">
        <v>1645</v>
      </c>
      <c r="F1281" s="14">
        <v>0.5</v>
      </c>
      <c r="G1281" s="40">
        <v>46023.0</v>
      </c>
    </row>
    <row r="1282" ht="15.75" customHeight="1">
      <c r="A1282" s="4" t="s">
        <v>38</v>
      </c>
      <c r="B1282" s="4" t="s">
        <v>48</v>
      </c>
      <c r="C1282" s="4" t="s">
        <v>54</v>
      </c>
      <c r="D1282" s="4" t="s">
        <v>194</v>
      </c>
      <c r="E1282" s="4" t="s">
        <v>1646</v>
      </c>
      <c r="F1282" s="14">
        <v>0.5</v>
      </c>
      <c r="G1282" s="40">
        <v>46023.0</v>
      </c>
    </row>
    <row r="1283" ht="15.75" customHeight="1">
      <c r="A1283" s="4" t="s">
        <v>38</v>
      </c>
      <c r="B1283" s="4" t="s">
        <v>48</v>
      </c>
      <c r="C1283" s="4" t="s">
        <v>54</v>
      </c>
      <c r="D1283" s="4" t="s">
        <v>194</v>
      </c>
      <c r="E1283" s="4" t="s">
        <v>1647</v>
      </c>
      <c r="F1283" s="14">
        <v>0.5</v>
      </c>
      <c r="G1283" s="40">
        <v>46023.0</v>
      </c>
    </row>
    <row r="1284" ht="15.75" customHeight="1">
      <c r="A1284" s="4" t="s">
        <v>38</v>
      </c>
      <c r="B1284" s="4" t="s">
        <v>48</v>
      </c>
      <c r="C1284" s="4" t="s">
        <v>54</v>
      </c>
      <c r="D1284" s="4" t="s">
        <v>273</v>
      </c>
      <c r="E1284" s="4" t="s">
        <v>1648</v>
      </c>
      <c r="F1284" s="14">
        <v>1.0</v>
      </c>
      <c r="G1284" s="40">
        <v>46023.0</v>
      </c>
    </row>
    <row r="1285" ht="15.75" customHeight="1">
      <c r="A1285" s="4" t="s">
        <v>38</v>
      </c>
      <c r="B1285" s="4" t="s">
        <v>48</v>
      </c>
      <c r="C1285" s="4" t="s">
        <v>54</v>
      </c>
      <c r="D1285" s="4" t="s">
        <v>273</v>
      </c>
      <c r="E1285" s="4" t="s">
        <v>1649</v>
      </c>
      <c r="F1285" s="14">
        <v>1.0</v>
      </c>
      <c r="G1285" s="40">
        <v>46023.0</v>
      </c>
    </row>
    <row r="1286" ht="15.75" customHeight="1">
      <c r="A1286" s="4" t="s">
        <v>38</v>
      </c>
      <c r="B1286" s="4" t="s">
        <v>48</v>
      </c>
      <c r="C1286" s="4" t="s">
        <v>54</v>
      </c>
      <c r="D1286" s="4" t="s">
        <v>273</v>
      </c>
      <c r="E1286" s="4" t="s">
        <v>1650</v>
      </c>
      <c r="F1286" s="14">
        <v>1.0</v>
      </c>
      <c r="G1286" s="40">
        <v>46023.0</v>
      </c>
    </row>
    <row r="1287" ht="15.75" customHeight="1">
      <c r="A1287" s="4" t="s">
        <v>38</v>
      </c>
      <c r="B1287" s="4" t="s">
        <v>48</v>
      </c>
      <c r="C1287" s="4" t="s">
        <v>54</v>
      </c>
      <c r="D1287" s="4" t="s">
        <v>286</v>
      </c>
      <c r="E1287" s="4" t="s">
        <v>1651</v>
      </c>
      <c r="F1287" s="14">
        <v>0.75</v>
      </c>
      <c r="G1287" s="40">
        <v>46023.0</v>
      </c>
    </row>
    <row r="1288" ht="15.75" customHeight="1">
      <c r="A1288" s="4" t="s">
        <v>38</v>
      </c>
      <c r="B1288" s="4" t="s">
        <v>48</v>
      </c>
      <c r="C1288" s="4" t="s">
        <v>54</v>
      </c>
      <c r="D1288" s="4" t="s">
        <v>194</v>
      </c>
      <c r="E1288" s="4" t="s">
        <v>1652</v>
      </c>
      <c r="F1288" s="14">
        <v>0.5</v>
      </c>
      <c r="G1288" s="40">
        <v>46023.0</v>
      </c>
    </row>
    <row r="1289" ht="15.75" customHeight="1">
      <c r="A1289" s="4" t="s">
        <v>38</v>
      </c>
      <c r="B1289" s="4" t="s">
        <v>48</v>
      </c>
      <c r="C1289" s="4" t="s">
        <v>54</v>
      </c>
      <c r="D1289" s="4" t="s">
        <v>273</v>
      </c>
      <c r="E1289" s="4" t="s">
        <v>1653</v>
      </c>
      <c r="F1289" s="14">
        <v>1.0</v>
      </c>
      <c r="G1289" s="40">
        <v>46054.0</v>
      </c>
    </row>
    <row r="1290" ht="15.75" customHeight="1">
      <c r="A1290" s="4" t="s">
        <v>38</v>
      </c>
      <c r="B1290" s="4" t="s">
        <v>48</v>
      </c>
      <c r="C1290" s="4" t="s">
        <v>54</v>
      </c>
      <c r="D1290" s="4" t="s">
        <v>194</v>
      </c>
      <c r="E1290" s="4" t="s">
        <v>1654</v>
      </c>
      <c r="F1290" s="14">
        <v>0.5</v>
      </c>
      <c r="G1290" s="40">
        <v>46054.0</v>
      </c>
    </row>
    <row r="1291" ht="15.75" customHeight="1">
      <c r="A1291" s="4" t="s">
        <v>38</v>
      </c>
      <c r="B1291" s="4" t="s">
        <v>48</v>
      </c>
      <c r="C1291" s="4" t="s">
        <v>54</v>
      </c>
      <c r="D1291" s="4" t="s">
        <v>194</v>
      </c>
      <c r="E1291" s="4" t="s">
        <v>1655</v>
      </c>
      <c r="F1291" s="14">
        <v>0.5</v>
      </c>
      <c r="G1291" s="40">
        <v>46054.0</v>
      </c>
    </row>
    <row r="1292" ht="15.75" customHeight="1">
      <c r="A1292" s="4" t="s">
        <v>38</v>
      </c>
      <c r="B1292" s="4" t="s">
        <v>48</v>
      </c>
      <c r="C1292" s="4" t="s">
        <v>54</v>
      </c>
      <c r="D1292" s="4" t="s">
        <v>273</v>
      </c>
      <c r="E1292" s="4" t="s">
        <v>1656</v>
      </c>
      <c r="F1292" s="14">
        <v>1.0</v>
      </c>
      <c r="G1292" s="40">
        <v>46082.0</v>
      </c>
    </row>
    <row r="1293" ht="15.75" customHeight="1">
      <c r="A1293" s="4" t="s">
        <v>38</v>
      </c>
      <c r="B1293" s="4" t="s">
        <v>48</v>
      </c>
      <c r="C1293" s="4" t="s">
        <v>54</v>
      </c>
      <c r="D1293" s="4" t="s">
        <v>194</v>
      </c>
      <c r="E1293" s="4" t="s">
        <v>1657</v>
      </c>
      <c r="F1293" s="14">
        <v>0.5</v>
      </c>
      <c r="G1293" s="40">
        <v>46082.0</v>
      </c>
    </row>
    <row r="1294" ht="15.75" customHeight="1">
      <c r="A1294" s="4" t="s">
        <v>38</v>
      </c>
      <c r="B1294" s="4" t="s">
        <v>48</v>
      </c>
      <c r="C1294" s="4" t="s">
        <v>54</v>
      </c>
      <c r="D1294" s="4" t="s">
        <v>273</v>
      </c>
      <c r="E1294" s="4" t="s">
        <v>1658</v>
      </c>
      <c r="F1294" s="14">
        <v>1.0</v>
      </c>
      <c r="G1294" s="40">
        <v>46082.0</v>
      </c>
    </row>
    <row r="1295" ht="15.75" customHeight="1">
      <c r="A1295" s="4" t="s">
        <v>38</v>
      </c>
      <c r="B1295" s="4" t="s">
        <v>48</v>
      </c>
      <c r="C1295" s="4" t="s">
        <v>54</v>
      </c>
      <c r="D1295" s="4" t="s">
        <v>194</v>
      </c>
      <c r="E1295" s="4" t="s">
        <v>1659</v>
      </c>
      <c r="F1295" s="14">
        <v>0.5</v>
      </c>
      <c r="G1295" s="40">
        <v>46082.0</v>
      </c>
    </row>
    <row r="1296" ht="15.75" customHeight="1">
      <c r="A1296" s="4" t="s">
        <v>38</v>
      </c>
      <c r="B1296" s="4" t="s">
        <v>48</v>
      </c>
      <c r="C1296" s="4" t="s">
        <v>54</v>
      </c>
      <c r="D1296" s="4" t="s">
        <v>194</v>
      </c>
      <c r="E1296" s="4" t="s">
        <v>1660</v>
      </c>
      <c r="F1296" s="14">
        <v>0.5</v>
      </c>
      <c r="G1296" s="40">
        <v>46082.0</v>
      </c>
    </row>
    <row r="1297" ht="15.75" customHeight="1">
      <c r="A1297" s="4" t="s">
        <v>38</v>
      </c>
      <c r="B1297" s="4" t="s">
        <v>48</v>
      </c>
      <c r="C1297" s="4" t="s">
        <v>54</v>
      </c>
      <c r="D1297" s="4" t="s">
        <v>273</v>
      </c>
      <c r="E1297" s="4" t="s">
        <v>1661</v>
      </c>
      <c r="F1297" s="14">
        <v>1.0</v>
      </c>
      <c r="G1297" s="40">
        <v>46082.0</v>
      </c>
    </row>
    <row r="1298" ht="15.75" customHeight="1">
      <c r="A1298" s="4" t="s">
        <v>38</v>
      </c>
      <c r="B1298" s="4" t="s">
        <v>48</v>
      </c>
      <c r="C1298" s="4" t="s">
        <v>54</v>
      </c>
      <c r="D1298" s="4" t="s">
        <v>283</v>
      </c>
      <c r="E1298" s="4" t="s">
        <v>1662</v>
      </c>
      <c r="F1298" s="14">
        <v>1.5</v>
      </c>
      <c r="G1298" s="40">
        <v>46082.0</v>
      </c>
    </row>
    <row r="1299" ht="15.75" customHeight="1">
      <c r="A1299" s="4" t="s">
        <v>38</v>
      </c>
      <c r="B1299" s="4" t="s">
        <v>48</v>
      </c>
      <c r="C1299" s="4" t="s">
        <v>54</v>
      </c>
      <c r="D1299" s="4" t="s">
        <v>194</v>
      </c>
      <c r="E1299" s="4" t="s">
        <v>1663</v>
      </c>
      <c r="F1299" s="14">
        <v>0.5</v>
      </c>
      <c r="G1299" s="40">
        <v>46082.0</v>
      </c>
    </row>
    <row r="1300" ht="15.75" customHeight="1">
      <c r="A1300" s="4" t="s">
        <v>38</v>
      </c>
      <c r="B1300" s="4" t="s">
        <v>48</v>
      </c>
      <c r="C1300" s="4" t="s">
        <v>54</v>
      </c>
      <c r="D1300" s="4" t="s">
        <v>273</v>
      </c>
      <c r="E1300" s="4" t="s">
        <v>1664</v>
      </c>
      <c r="F1300" s="14">
        <v>1.0</v>
      </c>
      <c r="G1300" s="40">
        <v>46082.0</v>
      </c>
    </row>
    <row r="1301" ht="15.75" customHeight="1">
      <c r="A1301" s="4" t="s">
        <v>38</v>
      </c>
      <c r="B1301" s="4" t="s">
        <v>48</v>
      </c>
      <c r="C1301" s="4" t="s">
        <v>54</v>
      </c>
      <c r="D1301" s="4" t="s">
        <v>273</v>
      </c>
      <c r="E1301" s="4" t="s">
        <v>1665</v>
      </c>
      <c r="F1301" s="14">
        <v>1.0</v>
      </c>
      <c r="G1301" s="40">
        <v>46082.0</v>
      </c>
    </row>
    <row r="1302" ht="15.75" customHeight="1">
      <c r="A1302" s="4" t="s">
        <v>38</v>
      </c>
      <c r="B1302" s="4" t="s">
        <v>48</v>
      </c>
      <c r="C1302" s="4" t="s">
        <v>54</v>
      </c>
      <c r="D1302" s="4" t="s">
        <v>194</v>
      </c>
      <c r="E1302" s="4" t="s">
        <v>1666</v>
      </c>
      <c r="F1302" s="14">
        <v>0.5</v>
      </c>
      <c r="G1302" s="40">
        <v>46082.0</v>
      </c>
    </row>
    <row r="1303" ht="15.75" customHeight="1">
      <c r="A1303" s="4" t="s">
        <v>38</v>
      </c>
      <c r="B1303" s="4" t="s">
        <v>48</v>
      </c>
      <c r="C1303" s="4" t="s">
        <v>54</v>
      </c>
      <c r="D1303" s="4" t="s">
        <v>194</v>
      </c>
      <c r="E1303" s="4" t="s">
        <v>1667</v>
      </c>
      <c r="F1303" s="14">
        <v>0.5</v>
      </c>
      <c r="G1303" s="40">
        <v>46113.0</v>
      </c>
    </row>
    <row r="1304" ht="15.75" customHeight="1">
      <c r="A1304" s="4" t="s">
        <v>38</v>
      </c>
      <c r="B1304" s="4" t="s">
        <v>48</v>
      </c>
      <c r="C1304" s="4" t="s">
        <v>54</v>
      </c>
      <c r="D1304" s="4" t="s">
        <v>194</v>
      </c>
      <c r="E1304" s="4" t="s">
        <v>1668</v>
      </c>
      <c r="F1304" s="14">
        <v>0.5</v>
      </c>
      <c r="G1304" s="40">
        <v>46113.0</v>
      </c>
    </row>
    <row r="1305" ht="15.75" customHeight="1">
      <c r="A1305" s="4" t="s">
        <v>38</v>
      </c>
      <c r="B1305" s="4" t="s">
        <v>48</v>
      </c>
      <c r="C1305" s="4" t="s">
        <v>54</v>
      </c>
      <c r="D1305" s="4" t="s">
        <v>194</v>
      </c>
      <c r="E1305" s="4" t="s">
        <v>646</v>
      </c>
      <c r="F1305" s="14">
        <v>0.5</v>
      </c>
      <c r="G1305" s="40">
        <v>46113.0</v>
      </c>
    </row>
    <row r="1306" ht="15.75" customHeight="1">
      <c r="A1306" s="4" t="s">
        <v>38</v>
      </c>
      <c r="B1306" s="4" t="s">
        <v>48</v>
      </c>
      <c r="C1306" s="4" t="s">
        <v>54</v>
      </c>
      <c r="D1306" s="4" t="s">
        <v>273</v>
      </c>
      <c r="E1306" s="4" t="s">
        <v>1670</v>
      </c>
      <c r="F1306" s="14">
        <v>1.0</v>
      </c>
      <c r="G1306" s="40">
        <v>46113.0</v>
      </c>
    </row>
    <row r="1307" ht="15.75" customHeight="1">
      <c r="A1307" s="4" t="s">
        <v>38</v>
      </c>
      <c r="B1307" s="4" t="s">
        <v>48</v>
      </c>
      <c r="C1307" s="4" t="s">
        <v>54</v>
      </c>
      <c r="D1307" s="4" t="s">
        <v>194</v>
      </c>
      <c r="E1307" s="4" t="s">
        <v>1671</v>
      </c>
      <c r="F1307" s="14">
        <v>0.5</v>
      </c>
      <c r="G1307" s="40">
        <v>46113.0</v>
      </c>
    </row>
    <row r="1308" ht="15.75" customHeight="1">
      <c r="A1308" s="4" t="s">
        <v>38</v>
      </c>
      <c r="B1308" s="4" t="s">
        <v>48</v>
      </c>
      <c r="C1308" s="4" t="s">
        <v>54</v>
      </c>
      <c r="D1308" s="4" t="s">
        <v>194</v>
      </c>
      <c r="E1308" s="4" t="s">
        <v>1672</v>
      </c>
      <c r="F1308" s="14">
        <v>0.5</v>
      </c>
      <c r="G1308" s="40">
        <v>46113.0</v>
      </c>
    </row>
    <row r="1309" ht="15.75" customHeight="1">
      <c r="A1309" s="4" t="s">
        <v>38</v>
      </c>
      <c r="B1309" s="4" t="s">
        <v>48</v>
      </c>
      <c r="C1309" s="4" t="s">
        <v>54</v>
      </c>
      <c r="D1309" s="4" t="s">
        <v>194</v>
      </c>
      <c r="E1309" s="4" t="s">
        <v>1673</v>
      </c>
      <c r="F1309" s="14">
        <v>0.5</v>
      </c>
      <c r="G1309" s="40">
        <v>46113.0</v>
      </c>
    </row>
    <row r="1310" ht="15.75" customHeight="1">
      <c r="A1310" s="4" t="s">
        <v>38</v>
      </c>
      <c r="B1310" s="4" t="s">
        <v>48</v>
      </c>
      <c r="C1310" s="4" t="s">
        <v>54</v>
      </c>
      <c r="D1310" s="4" t="s">
        <v>194</v>
      </c>
      <c r="E1310" s="4" t="s">
        <v>1674</v>
      </c>
      <c r="F1310" s="14">
        <v>0.5</v>
      </c>
      <c r="G1310" s="40">
        <v>46113.0</v>
      </c>
    </row>
    <row r="1311" ht="15.75" customHeight="1">
      <c r="A1311" s="4" t="s">
        <v>38</v>
      </c>
      <c r="B1311" s="4" t="s">
        <v>48</v>
      </c>
      <c r="C1311" s="4" t="s">
        <v>54</v>
      </c>
      <c r="D1311" s="4" t="s">
        <v>194</v>
      </c>
      <c r="E1311" s="4" t="s">
        <v>1675</v>
      </c>
      <c r="F1311" s="14">
        <v>0.5</v>
      </c>
      <c r="G1311" s="40">
        <v>46113.0</v>
      </c>
    </row>
    <row r="1312" ht="15.75" customHeight="1">
      <c r="A1312" s="4" t="s">
        <v>38</v>
      </c>
      <c r="B1312" s="4" t="s">
        <v>48</v>
      </c>
      <c r="C1312" s="4" t="s">
        <v>54</v>
      </c>
      <c r="D1312" s="4" t="s">
        <v>194</v>
      </c>
      <c r="E1312" s="4" t="s">
        <v>1676</v>
      </c>
      <c r="F1312" s="14">
        <v>0.5</v>
      </c>
      <c r="G1312" s="40">
        <v>46113.0</v>
      </c>
    </row>
    <row r="1313" ht="15.75" customHeight="1">
      <c r="A1313" s="4" t="s">
        <v>38</v>
      </c>
      <c r="B1313" s="4" t="s">
        <v>48</v>
      </c>
      <c r="C1313" s="4" t="s">
        <v>54</v>
      </c>
      <c r="D1313" s="4" t="s">
        <v>194</v>
      </c>
      <c r="E1313" s="4" t="s">
        <v>1677</v>
      </c>
      <c r="F1313" s="14">
        <v>0.5</v>
      </c>
      <c r="G1313" s="40">
        <v>46113.0</v>
      </c>
    </row>
    <row r="1314" ht="15.75" customHeight="1">
      <c r="A1314" s="4" t="s">
        <v>38</v>
      </c>
      <c r="B1314" s="4" t="s">
        <v>48</v>
      </c>
      <c r="C1314" s="4" t="s">
        <v>54</v>
      </c>
      <c r="D1314" s="4" t="s">
        <v>194</v>
      </c>
      <c r="E1314" s="4" t="s">
        <v>1678</v>
      </c>
      <c r="F1314" s="14">
        <v>0.5</v>
      </c>
      <c r="G1314" s="40">
        <v>46113.0</v>
      </c>
    </row>
    <row r="1315" ht="15.75" customHeight="1">
      <c r="A1315" s="4" t="s">
        <v>38</v>
      </c>
      <c r="B1315" s="4" t="s">
        <v>48</v>
      </c>
      <c r="C1315" s="4" t="s">
        <v>54</v>
      </c>
      <c r="D1315" s="4" t="s">
        <v>194</v>
      </c>
      <c r="E1315" s="4" t="s">
        <v>1679</v>
      </c>
      <c r="F1315" s="14">
        <v>0.5</v>
      </c>
      <c r="G1315" s="40">
        <v>46143.0</v>
      </c>
    </row>
    <row r="1316" ht="15.75" customHeight="1">
      <c r="A1316" s="4" t="s">
        <v>38</v>
      </c>
      <c r="B1316" s="4" t="s">
        <v>48</v>
      </c>
      <c r="C1316" s="4" t="s">
        <v>54</v>
      </c>
      <c r="D1316" s="4" t="s">
        <v>194</v>
      </c>
      <c r="E1316" s="4" t="s">
        <v>1680</v>
      </c>
      <c r="F1316" s="14">
        <v>0.5</v>
      </c>
      <c r="G1316" s="40">
        <v>46143.0</v>
      </c>
    </row>
    <row r="1317" ht="15.75" customHeight="1">
      <c r="A1317" s="4" t="s">
        <v>38</v>
      </c>
      <c r="B1317" s="4" t="s">
        <v>48</v>
      </c>
      <c r="C1317" s="4" t="s">
        <v>54</v>
      </c>
      <c r="D1317" s="4" t="s">
        <v>273</v>
      </c>
      <c r="E1317" s="4" t="s">
        <v>1681</v>
      </c>
      <c r="F1317" s="14">
        <v>1.0</v>
      </c>
      <c r="G1317" s="40">
        <v>46143.0</v>
      </c>
    </row>
    <row r="1318" ht="15.75" customHeight="1">
      <c r="A1318" s="4" t="s">
        <v>38</v>
      </c>
      <c r="B1318" s="4" t="s">
        <v>48</v>
      </c>
      <c r="C1318" s="4" t="s">
        <v>54</v>
      </c>
      <c r="D1318" s="4" t="s">
        <v>194</v>
      </c>
      <c r="E1318" s="4" t="s">
        <v>1682</v>
      </c>
      <c r="F1318" s="14">
        <v>0.5</v>
      </c>
      <c r="G1318" s="40">
        <v>46143.0</v>
      </c>
    </row>
    <row r="1319" ht="15.75" customHeight="1">
      <c r="A1319" s="4" t="s">
        <v>38</v>
      </c>
      <c r="B1319" s="4" t="s">
        <v>48</v>
      </c>
      <c r="C1319" s="4" t="s">
        <v>54</v>
      </c>
      <c r="D1319" s="4" t="s">
        <v>194</v>
      </c>
      <c r="E1319" s="4" t="s">
        <v>1683</v>
      </c>
      <c r="F1319" s="14">
        <v>0.5</v>
      </c>
      <c r="G1319" s="40">
        <v>46143.0</v>
      </c>
    </row>
    <row r="1320" ht="15.75" customHeight="1">
      <c r="A1320" s="4" t="s">
        <v>38</v>
      </c>
      <c r="B1320" s="4" t="s">
        <v>48</v>
      </c>
      <c r="C1320" s="4" t="s">
        <v>54</v>
      </c>
      <c r="D1320" s="4" t="s">
        <v>273</v>
      </c>
      <c r="E1320" s="4" t="s">
        <v>1684</v>
      </c>
      <c r="F1320" s="14">
        <v>1.0</v>
      </c>
      <c r="G1320" s="40">
        <v>46143.0</v>
      </c>
    </row>
    <row r="1321" ht="15.75" customHeight="1">
      <c r="A1321" s="4" t="s">
        <v>38</v>
      </c>
      <c r="B1321" s="4" t="s">
        <v>48</v>
      </c>
      <c r="C1321" s="4" t="s">
        <v>54</v>
      </c>
      <c r="D1321" s="4" t="s">
        <v>194</v>
      </c>
      <c r="E1321" s="4" t="s">
        <v>1685</v>
      </c>
      <c r="F1321" s="14">
        <v>0.5</v>
      </c>
      <c r="G1321" s="40">
        <v>46143.0</v>
      </c>
    </row>
    <row r="1322" ht="15.75" customHeight="1">
      <c r="A1322" s="4" t="s">
        <v>38</v>
      </c>
      <c r="B1322" s="4" t="s">
        <v>48</v>
      </c>
      <c r="C1322" s="4" t="s">
        <v>54</v>
      </c>
      <c r="D1322" s="4" t="s">
        <v>194</v>
      </c>
      <c r="E1322" s="4" t="s">
        <v>1686</v>
      </c>
      <c r="F1322" s="14">
        <v>0.5</v>
      </c>
      <c r="G1322" s="40">
        <v>46174.0</v>
      </c>
    </row>
    <row r="1323" ht="15.75" customHeight="1">
      <c r="A1323" s="4" t="s">
        <v>38</v>
      </c>
      <c r="B1323" s="4" t="s">
        <v>48</v>
      </c>
      <c r="C1323" s="4" t="s">
        <v>54</v>
      </c>
      <c r="D1323" s="4" t="s">
        <v>194</v>
      </c>
      <c r="E1323" s="4" t="s">
        <v>1687</v>
      </c>
      <c r="F1323" s="14">
        <v>0.5</v>
      </c>
      <c r="G1323" s="40">
        <v>46174.0</v>
      </c>
    </row>
    <row r="1324" ht="15.75" customHeight="1">
      <c r="A1324" s="4" t="s">
        <v>38</v>
      </c>
      <c r="B1324" s="4" t="s">
        <v>48</v>
      </c>
      <c r="C1324" s="4" t="s">
        <v>54</v>
      </c>
      <c r="D1324" s="4" t="s">
        <v>194</v>
      </c>
      <c r="E1324" s="4" t="s">
        <v>1688</v>
      </c>
      <c r="F1324" s="14">
        <v>0.5</v>
      </c>
      <c r="G1324" s="40">
        <v>46174.0</v>
      </c>
    </row>
    <row r="1325" ht="15.75" customHeight="1">
      <c r="A1325" s="4" t="s">
        <v>38</v>
      </c>
      <c r="B1325" s="4" t="s">
        <v>48</v>
      </c>
      <c r="C1325" s="4" t="s">
        <v>54</v>
      </c>
      <c r="D1325" s="4" t="s">
        <v>194</v>
      </c>
      <c r="E1325" s="4" t="s">
        <v>1689</v>
      </c>
      <c r="F1325" s="14">
        <v>0.5</v>
      </c>
      <c r="G1325" s="40">
        <v>46174.0</v>
      </c>
    </row>
    <row r="1326" ht="15.75" customHeight="1">
      <c r="A1326" s="4" t="s">
        <v>38</v>
      </c>
      <c r="B1326" s="4" t="s">
        <v>48</v>
      </c>
      <c r="C1326" s="4" t="s">
        <v>54</v>
      </c>
      <c r="D1326" s="4" t="s">
        <v>194</v>
      </c>
      <c r="E1326" s="4" t="s">
        <v>1690</v>
      </c>
      <c r="F1326" s="14">
        <v>0.5</v>
      </c>
      <c r="G1326" s="40">
        <v>46174.0</v>
      </c>
    </row>
    <row r="1327" ht="15.75" customHeight="1">
      <c r="A1327" s="4" t="s">
        <v>38</v>
      </c>
      <c r="B1327" s="4" t="s">
        <v>48</v>
      </c>
      <c r="C1327" s="4" t="s">
        <v>54</v>
      </c>
      <c r="D1327" s="4" t="s">
        <v>194</v>
      </c>
      <c r="E1327" s="4" t="s">
        <v>1691</v>
      </c>
      <c r="F1327" s="14">
        <v>0.5</v>
      </c>
      <c r="G1327" s="40">
        <v>46174.0</v>
      </c>
    </row>
    <row r="1328" ht="15.75" customHeight="1">
      <c r="A1328" s="4" t="s">
        <v>38</v>
      </c>
      <c r="B1328" s="4" t="s">
        <v>48</v>
      </c>
      <c r="C1328" s="4" t="s">
        <v>54</v>
      </c>
      <c r="D1328" s="4" t="s">
        <v>194</v>
      </c>
      <c r="E1328" s="4" t="s">
        <v>1692</v>
      </c>
      <c r="F1328" s="14">
        <v>0.5</v>
      </c>
      <c r="G1328" s="40">
        <v>46174.0</v>
      </c>
    </row>
    <row r="1329" ht="15.75" customHeight="1">
      <c r="A1329" s="4" t="s">
        <v>38</v>
      </c>
      <c r="B1329" s="4" t="s">
        <v>48</v>
      </c>
      <c r="C1329" s="4" t="s">
        <v>54</v>
      </c>
      <c r="D1329" s="4" t="s">
        <v>194</v>
      </c>
      <c r="E1329" s="4" t="s">
        <v>1693</v>
      </c>
      <c r="F1329" s="14">
        <v>0.5</v>
      </c>
      <c r="G1329" s="40">
        <v>46174.0</v>
      </c>
    </row>
    <row r="1330" ht="15.75" customHeight="1">
      <c r="A1330" s="4" t="s">
        <v>38</v>
      </c>
      <c r="B1330" s="4" t="s">
        <v>48</v>
      </c>
      <c r="C1330" s="4" t="s">
        <v>54</v>
      </c>
      <c r="D1330" s="4" t="s">
        <v>194</v>
      </c>
      <c r="E1330" s="4" t="s">
        <v>1694</v>
      </c>
      <c r="F1330" s="14">
        <v>0.5</v>
      </c>
      <c r="G1330" s="40">
        <v>46174.0</v>
      </c>
    </row>
    <row r="1331" ht="15.75" customHeight="1">
      <c r="A1331" s="4" t="s">
        <v>38</v>
      </c>
      <c r="B1331" s="4" t="s">
        <v>48</v>
      </c>
      <c r="C1331" s="4" t="s">
        <v>54</v>
      </c>
      <c r="D1331" s="4" t="s">
        <v>194</v>
      </c>
      <c r="E1331" s="4" t="s">
        <v>1695</v>
      </c>
      <c r="F1331" s="14">
        <v>0.5</v>
      </c>
      <c r="G1331" s="40">
        <v>46204.0</v>
      </c>
    </row>
    <row r="1332" ht="15.75" customHeight="1">
      <c r="A1332" s="4" t="s">
        <v>38</v>
      </c>
      <c r="B1332" s="4" t="s">
        <v>48</v>
      </c>
      <c r="C1332" s="4" t="s">
        <v>54</v>
      </c>
      <c r="D1332" s="4" t="s">
        <v>194</v>
      </c>
      <c r="E1332" s="4" t="s">
        <v>1696</v>
      </c>
      <c r="F1332" s="14">
        <v>0.5</v>
      </c>
      <c r="G1332" s="40">
        <v>46204.0</v>
      </c>
    </row>
    <row r="1333" ht="15.75" customHeight="1">
      <c r="A1333" s="4" t="s">
        <v>38</v>
      </c>
      <c r="B1333" s="4" t="s">
        <v>48</v>
      </c>
      <c r="C1333" s="4" t="s">
        <v>54</v>
      </c>
      <c r="D1333" s="4" t="s">
        <v>194</v>
      </c>
      <c r="E1333" s="4" t="s">
        <v>1697</v>
      </c>
      <c r="F1333" s="14">
        <v>0.5</v>
      </c>
      <c r="G1333" s="40">
        <v>46204.0</v>
      </c>
    </row>
    <row r="1334" ht="15.75" customHeight="1">
      <c r="A1334" s="4" t="s">
        <v>38</v>
      </c>
      <c r="B1334" s="4" t="s">
        <v>48</v>
      </c>
      <c r="C1334" s="4" t="s">
        <v>54</v>
      </c>
      <c r="D1334" s="4" t="s">
        <v>194</v>
      </c>
      <c r="E1334" s="4" t="s">
        <v>1698</v>
      </c>
      <c r="F1334" s="14">
        <v>0.5</v>
      </c>
      <c r="G1334" s="40">
        <v>46204.0</v>
      </c>
    </row>
    <row r="1335" ht="15.75" customHeight="1">
      <c r="A1335" s="4" t="s">
        <v>38</v>
      </c>
      <c r="B1335" s="4" t="s">
        <v>48</v>
      </c>
      <c r="C1335" s="4" t="s">
        <v>54</v>
      </c>
      <c r="D1335" s="4" t="s">
        <v>273</v>
      </c>
      <c r="E1335" s="4" t="s">
        <v>1699</v>
      </c>
      <c r="F1335" s="14">
        <v>1.0</v>
      </c>
      <c r="G1335" s="40">
        <v>46204.0</v>
      </c>
    </row>
    <row r="1336" ht="15.75" customHeight="1">
      <c r="A1336" s="4" t="s">
        <v>38</v>
      </c>
      <c r="B1336" s="4" t="s">
        <v>48</v>
      </c>
      <c r="C1336" s="4" t="s">
        <v>54</v>
      </c>
      <c r="D1336" s="4" t="s">
        <v>194</v>
      </c>
      <c r="E1336" s="4" t="s">
        <v>1700</v>
      </c>
      <c r="F1336" s="14">
        <v>0.5</v>
      </c>
      <c r="G1336" s="40">
        <v>46204.0</v>
      </c>
    </row>
    <row r="1337" ht="15.75" customHeight="1">
      <c r="A1337" s="4" t="s">
        <v>38</v>
      </c>
      <c r="B1337" s="4" t="s">
        <v>48</v>
      </c>
      <c r="C1337" s="4" t="s">
        <v>54</v>
      </c>
      <c r="D1337" s="4" t="s">
        <v>194</v>
      </c>
      <c r="E1337" s="4" t="s">
        <v>1701</v>
      </c>
      <c r="F1337" s="14">
        <v>0.5</v>
      </c>
      <c r="G1337" s="40">
        <v>46204.0</v>
      </c>
    </row>
    <row r="1338" ht="15.75" customHeight="1">
      <c r="A1338" s="4" t="s">
        <v>38</v>
      </c>
      <c r="B1338" s="4" t="s">
        <v>48</v>
      </c>
      <c r="C1338" s="4" t="s">
        <v>54</v>
      </c>
      <c r="D1338" s="4" t="s">
        <v>194</v>
      </c>
      <c r="E1338" s="4" t="s">
        <v>1702</v>
      </c>
      <c r="F1338" s="14">
        <v>0.5</v>
      </c>
      <c r="G1338" s="40">
        <v>46204.0</v>
      </c>
    </row>
    <row r="1339" ht="15.75" customHeight="1">
      <c r="A1339" s="4" t="s">
        <v>38</v>
      </c>
      <c r="B1339" s="4" t="s">
        <v>48</v>
      </c>
      <c r="C1339" s="4" t="s">
        <v>54</v>
      </c>
      <c r="D1339" s="4" t="s">
        <v>194</v>
      </c>
      <c r="E1339" s="4" t="s">
        <v>1703</v>
      </c>
      <c r="F1339" s="14">
        <v>0.5</v>
      </c>
      <c r="G1339" s="40">
        <v>46204.0</v>
      </c>
    </row>
    <row r="1340" ht="15.75" customHeight="1">
      <c r="A1340" s="4" t="s">
        <v>38</v>
      </c>
      <c r="B1340" s="4" t="s">
        <v>48</v>
      </c>
      <c r="C1340" s="4" t="s">
        <v>54</v>
      </c>
      <c r="D1340" s="4" t="s">
        <v>194</v>
      </c>
      <c r="E1340" s="4" t="s">
        <v>1704</v>
      </c>
      <c r="F1340" s="14">
        <v>0.5</v>
      </c>
      <c r="G1340" s="40">
        <v>46235.0</v>
      </c>
    </row>
    <row r="1341" ht="15.75" customHeight="1">
      <c r="A1341" s="4" t="s">
        <v>38</v>
      </c>
      <c r="B1341" s="4" t="s">
        <v>48</v>
      </c>
      <c r="C1341" s="4" t="s">
        <v>54</v>
      </c>
      <c r="D1341" s="4" t="s">
        <v>194</v>
      </c>
      <c r="E1341" s="4" t="s">
        <v>1705</v>
      </c>
      <c r="F1341" s="14">
        <v>0.5</v>
      </c>
      <c r="G1341" s="40">
        <v>46235.0</v>
      </c>
    </row>
    <row r="1342" ht="15.75" customHeight="1">
      <c r="A1342" s="4" t="s">
        <v>38</v>
      </c>
      <c r="B1342" s="4" t="s">
        <v>31</v>
      </c>
      <c r="C1342" s="4" t="s">
        <v>41</v>
      </c>
      <c r="D1342" s="4" t="s">
        <v>273</v>
      </c>
      <c r="E1342" s="4" t="s">
        <v>1706</v>
      </c>
      <c r="F1342" s="14">
        <v>1.0</v>
      </c>
      <c r="G1342" s="40">
        <v>46023.0</v>
      </c>
    </row>
    <row r="1343" ht="15.75" customHeight="1">
      <c r="A1343" s="4" t="s">
        <v>38</v>
      </c>
      <c r="B1343" s="4" t="s">
        <v>31</v>
      </c>
      <c r="C1343" s="4" t="s">
        <v>41</v>
      </c>
      <c r="D1343" s="4" t="s">
        <v>363</v>
      </c>
      <c r="E1343" s="4" t="s">
        <v>1707</v>
      </c>
      <c r="F1343" s="14">
        <v>2.0</v>
      </c>
      <c r="G1343" s="40">
        <v>46023.0</v>
      </c>
    </row>
    <row r="1344" ht="15.75" customHeight="1">
      <c r="A1344" s="4" t="s">
        <v>38</v>
      </c>
      <c r="B1344" s="4" t="s">
        <v>31</v>
      </c>
      <c r="C1344" s="4" t="s">
        <v>41</v>
      </c>
      <c r="D1344" s="4" t="s">
        <v>194</v>
      </c>
      <c r="E1344" s="4" t="s">
        <v>1708</v>
      </c>
      <c r="F1344" s="14">
        <v>0.5</v>
      </c>
      <c r="G1344" s="40">
        <v>46023.0</v>
      </c>
    </row>
    <row r="1345" ht="15.75" customHeight="1">
      <c r="A1345" s="4" t="s">
        <v>38</v>
      </c>
      <c r="B1345" s="4" t="s">
        <v>31</v>
      </c>
      <c r="C1345" s="4" t="s">
        <v>41</v>
      </c>
      <c r="D1345" s="4" t="s">
        <v>194</v>
      </c>
      <c r="E1345" s="4" t="s">
        <v>1709</v>
      </c>
      <c r="F1345" s="14">
        <v>0.5</v>
      </c>
      <c r="G1345" s="40">
        <v>46054.0</v>
      </c>
    </row>
    <row r="1346" ht="15.75" customHeight="1">
      <c r="A1346" s="4" t="s">
        <v>38</v>
      </c>
      <c r="B1346" s="4" t="s">
        <v>31</v>
      </c>
      <c r="C1346" s="4" t="s">
        <v>41</v>
      </c>
      <c r="D1346" s="4" t="s">
        <v>194</v>
      </c>
      <c r="E1346" s="4" t="s">
        <v>1710</v>
      </c>
      <c r="F1346" s="14">
        <v>0.5</v>
      </c>
      <c r="G1346" s="40">
        <v>46054.0</v>
      </c>
    </row>
    <row r="1347" ht="15.75" customHeight="1">
      <c r="A1347" s="4" t="s">
        <v>38</v>
      </c>
      <c r="B1347" s="4" t="s">
        <v>31</v>
      </c>
      <c r="C1347" s="4" t="s">
        <v>41</v>
      </c>
      <c r="D1347" s="4" t="s">
        <v>194</v>
      </c>
      <c r="E1347" s="4" t="s">
        <v>1711</v>
      </c>
      <c r="F1347" s="14">
        <v>0.5</v>
      </c>
      <c r="G1347" s="40">
        <v>46054.0</v>
      </c>
    </row>
    <row r="1348" ht="15.75" customHeight="1">
      <c r="A1348" s="4" t="s">
        <v>38</v>
      </c>
      <c r="B1348" s="4" t="s">
        <v>31</v>
      </c>
      <c r="C1348" s="4" t="s">
        <v>41</v>
      </c>
      <c r="D1348" s="4" t="s">
        <v>194</v>
      </c>
      <c r="E1348" s="4" t="s">
        <v>1711</v>
      </c>
      <c r="F1348" s="14">
        <v>0.5</v>
      </c>
      <c r="G1348" s="40">
        <v>46054.0</v>
      </c>
    </row>
    <row r="1349" ht="15.75" customHeight="1">
      <c r="A1349" s="4" t="s">
        <v>38</v>
      </c>
      <c r="B1349" s="4" t="s">
        <v>31</v>
      </c>
      <c r="C1349" s="4" t="s">
        <v>41</v>
      </c>
      <c r="D1349" s="4" t="s">
        <v>194</v>
      </c>
      <c r="E1349" s="4" t="s">
        <v>1712</v>
      </c>
      <c r="F1349" s="14">
        <v>0.5</v>
      </c>
      <c r="G1349" s="40">
        <v>46054.0</v>
      </c>
    </row>
    <row r="1350" ht="15.75" customHeight="1">
      <c r="A1350" s="4" t="s">
        <v>38</v>
      </c>
      <c r="B1350" s="4" t="s">
        <v>31</v>
      </c>
      <c r="C1350" s="4" t="s">
        <v>41</v>
      </c>
      <c r="D1350" s="4" t="s">
        <v>194</v>
      </c>
      <c r="E1350" s="4" t="s">
        <v>1713</v>
      </c>
      <c r="F1350" s="14">
        <v>0.5</v>
      </c>
      <c r="G1350" s="40">
        <v>46054.0</v>
      </c>
    </row>
    <row r="1351" ht="15.75" customHeight="1">
      <c r="A1351" s="4" t="s">
        <v>38</v>
      </c>
      <c r="B1351" s="4" t="s">
        <v>31</v>
      </c>
      <c r="C1351" s="4" t="s">
        <v>41</v>
      </c>
      <c r="D1351" s="4" t="s">
        <v>273</v>
      </c>
      <c r="E1351" s="4" t="s">
        <v>1714</v>
      </c>
      <c r="F1351" s="14">
        <v>1.0</v>
      </c>
      <c r="G1351" s="40">
        <v>46054.0</v>
      </c>
    </row>
    <row r="1352" ht="15.75" customHeight="1">
      <c r="A1352" s="4" t="s">
        <v>38</v>
      </c>
      <c r="B1352" s="4" t="s">
        <v>31</v>
      </c>
      <c r="C1352" s="4" t="s">
        <v>41</v>
      </c>
      <c r="D1352" s="4" t="s">
        <v>194</v>
      </c>
      <c r="E1352" s="4" t="s">
        <v>1715</v>
      </c>
      <c r="F1352" s="14">
        <v>0.5</v>
      </c>
      <c r="G1352" s="40">
        <v>46054.0</v>
      </c>
    </row>
    <row r="1353" ht="15.75" customHeight="1">
      <c r="A1353" s="4" t="s">
        <v>38</v>
      </c>
      <c r="B1353" s="4" t="s">
        <v>31</v>
      </c>
      <c r="C1353" s="4" t="s">
        <v>41</v>
      </c>
      <c r="D1353" s="4" t="s">
        <v>273</v>
      </c>
      <c r="E1353" s="4" t="s">
        <v>1716</v>
      </c>
      <c r="F1353" s="14">
        <v>1.0</v>
      </c>
      <c r="G1353" s="40">
        <v>46054.0</v>
      </c>
    </row>
    <row r="1354" ht="15.75" customHeight="1">
      <c r="A1354" s="4" t="s">
        <v>38</v>
      </c>
      <c r="B1354" s="4" t="s">
        <v>31</v>
      </c>
      <c r="C1354" s="4" t="s">
        <v>41</v>
      </c>
      <c r="D1354" s="4" t="s">
        <v>273</v>
      </c>
      <c r="E1354" s="4" t="s">
        <v>1717</v>
      </c>
      <c r="F1354" s="14">
        <v>1.0</v>
      </c>
      <c r="G1354" s="40">
        <v>46054.0</v>
      </c>
    </row>
    <row r="1355" ht="15.75" customHeight="1">
      <c r="A1355" s="4" t="s">
        <v>38</v>
      </c>
      <c r="B1355" s="4" t="s">
        <v>31</v>
      </c>
      <c r="C1355" s="4" t="s">
        <v>41</v>
      </c>
      <c r="D1355" s="4" t="s">
        <v>283</v>
      </c>
      <c r="E1355" s="4" t="s">
        <v>1718</v>
      </c>
      <c r="F1355" s="14">
        <v>1.5</v>
      </c>
      <c r="G1355" s="40">
        <v>46054.0</v>
      </c>
    </row>
    <row r="1356" ht="15.75" customHeight="1">
      <c r="A1356" s="4" t="s">
        <v>38</v>
      </c>
      <c r="B1356" s="4" t="s">
        <v>31</v>
      </c>
      <c r="C1356" s="4" t="s">
        <v>41</v>
      </c>
      <c r="D1356" s="4" t="s">
        <v>194</v>
      </c>
      <c r="E1356" s="4" t="s">
        <v>1719</v>
      </c>
      <c r="F1356" s="14">
        <v>0.5</v>
      </c>
      <c r="G1356" s="40">
        <v>46054.0</v>
      </c>
    </row>
    <row r="1357" ht="15.75" customHeight="1">
      <c r="A1357" s="4" t="s">
        <v>38</v>
      </c>
      <c r="B1357" s="4" t="s">
        <v>31</v>
      </c>
      <c r="C1357" s="4" t="s">
        <v>41</v>
      </c>
      <c r="D1357" s="4" t="s">
        <v>273</v>
      </c>
      <c r="E1357" s="4" t="s">
        <v>1720</v>
      </c>
      <c r="F1357" s="14">
        <v>1.0</v>
      </c>
      <c r="G1357" s="40">
        <v>46082.0</v>
      </c>
    </row>
    <row r="1358" ht="15.75" customHeight="1">
      <c r="A1358" s="4" t="s">
        <v>38</v>
      </c>
      <c r="B1358" s="4" t="s">
        <v>31</v>
      </c>
      <c r="C1358" s="4" t="s">
        <v>41</v>
      </c>
      <c r="D1358" s="4" t="s">
        <v>194</v>
      </c>
      <c r="E1358" s="4" t="s">
        <v>1721</v>
      </c>
      <c r="F1358" s="14">
        <v>0.5</v>
      </c>
      <c r="G1358" s="40">
        <v>46082.0</v>
      </c>
    </row>
    <row r="1359" ht="15.75" customHeight="1">
      <c r="A1359" s="4" t="s">
        <v>38</v>
      </c>
      <c r="B1359" s="4" t="s">
        <v>31</v>
      </c>
      <c r="C1359" s="4" t="s">
        <v>41</v>
      </c>
      <c r="D1359" s="4" t="s">
        <v>194</v>
      </c>
      <c r="E1359" s="4" t="s">
        <v>1722</v>
      </c>
      <c r="F1359" s="14">
        <v>0.5</v>
      </c>
      <c r="G1359" s="40">
        <v>46082.0</v>
      </c>
    </row>
    <row r="1360" ht="15.75" customHeight="1">
      <c r="A1360" s="4" t="s">
        <v>38</v>
      </c>
      <c r="B1360" s="4" t="s">
        <v>31</v>
      </c>
      <c r="C1360" s="4" t="s">
        <v>41</v>
      </c>
      <c r="D1360" s="4" t="s">
        <v>273</v>
      </c>
      <c r="E1360" s="4" t="s">
        <v>1723</v>
      </c>
      <c r="F1360" s="14">
        <v>1.0</v>
      </c>
      <c r="G1360" s="40">
        <v>46082.0</v>
      </c>
    </row>
    <row r="1361" ht="15.75" customHeight="1">
      <c r="A1361" s="4" t="s">
        <v>38</v>
      </c>
      <c r="B1361" s="4" t="s">
        <v>31</v>
      </c>
      <c r="C1361" s="4" t="s">
        <v>41</v>
      </c>
      <c r="D1361" s="4" t="s">
        <v>194</v>
      </c>
      <c r="E1361" s="4" t="s">
        <v>1724</v>
      </c>
      <c r="F1361" s="14">
        <v>0.5</v>
      </c>
      <c r="G1361" s="40">
        <v>46082.0</v>
      </c>
    </row>
    <row r="1362" ht="15.75" customHeight="1">
      <c r="A1362" s="4" t="s">
        <v>38</v>
      </c>
      <c r="B1362" s="4" t="s">
        <v>31</v>
      </c>
      <c r="C1362" s="4" t="s">
        <v>41</v>
      </c>
      <c r="D1362" s="4" t="s">
        <v>273</v>
      </c>
      <c r="E1362" s="4" t="s">
        <v>1725</v>
      </c>
      <c r="F1362" s="14">
        <v>1.0</v>
      </c>
      <c r="G1362" s="40">
        <v>46082.0</v>
      </c>
    </row>
    <row r="1363" ht="15.75" customHeight="1">
      <c r="A1363" s="4" t="s">
        <v>38</v>
      </c>
      <c r="B1363" s="4" t="s">
        <v>31</v>
      </c>
      <c r="C1363" s="4" t="s">
        <v>41</v>
      </c>
      <c r="D1363" s="4" t="s">
        <v>194</v>
      </c>
      <c r="E1363" s="4" t="s">
        <v>1726</v>
      </c>
      <c r="F1363" s="14">
        <v>0.5</v>
      </c>
      <c r="G1363" s="40">
        <v>46082.0</v>
      </c>
    </row>
    <row r="1364" ht="15.75" customHeight="1">
      <c r="A1364" s="4" t="s">
        <v>38</v>
      </c>
      <c r="B1364" s="4" t="s">
        <v>31</v>
      </c>
      <c r="C1364" s="4" t="s">
        <v>41</v>
      </c>
      <c r="D1364" s="4" t="s">
        <v>194</v>
      </c>
      <c r="E1364" s="4" t="s">
        <v>1727</v>
      </c>
      <c r="F1364" s="14">
        <v>0.5</v>
      </c>
      <c r="G1364" s="40">
        <v>46082.0</v>
      </c>
    </row>
    <row r="1365" ht="15.75" customHeight="1">
      <c r="A1365" s="4" t="s">
        <v>38</v>
      </c>
      <c r="B1365" s="4" t="s">
        <v>31</v>
      </c>
      <c r="C1365" s="4" t="s">
        <v>41</v>
      </c>
      <c r="D1365" s="4" t="s">
        <v>194</v>
      </c>
      <c r="E1365" s="4" t="s">
        <v>1728</v>
      </c>
      <c r="F1365" s="14">
        <v>0.5</v>
      </c>
      <c r="G1365" s="40">
        <v>46082.0</v>
      </c>
    </row>
    <row r="1366" ht="15.75" customHeight="1">
      <c r="A1366" s="4" t="s">
        <v>38</v>
      </c>
      <c r="B1366" s="4" t="s">
        <v>31</v>
      </c>
      <c r="C1366" s="4" t="s">
        <v>41</v>
      </c>
      <c r="D1366" s="4" t="s">
        <v>194</v>
      </c>
      <c r="E1366" s="4" t="s">
        <v>1729</v>
      </c>
      <c r="F1366" s="14">
        <v>0.5</v>
      </c>
      <c r="G1366" s="40">
        <v>46082.0</v>
      </c>
    </row>
    <row r="1367" ht="15.75" customHeight="1">
      <c r="A1367" s="4" t="s">
        <v>38</v>
      </c>
      <c r="B1367" s="4" t="s">
        <v>31</v>
      </c>
      <c r="C1367" s="4" t="s">
        <v>41</v>
      </c>
      <c r="D1367" s="4" t="s">
        <v>561</v>
      </c>
      <c r="E1367" s="4" t="s">
        <v>1730</v>
      </c>
      <c r="F1367" s="14">
        <v>1.75</v>
      </c>
      <c r="G1367" s="40">
        <v>46082.0</v>
      </c>
    </row>
    <row r="1368" ht="15.75" customHeight="1">
      <c r="A1368" s="4" t="s">
        <v>38</v>
      </c>
      <c r="B1368" s="4" t="s">
        <v>31</v>
      </c>
      <c r="C1368" s="4" t="s">
        <v>41</v>
      </c>
      <c r="D1368" s="4" t="s">
        <v>273</v>
      </c>
      <c r="E1368" s="4" t="s">
        <v>1731</v>
      </c>
      <c r="F1368" s="14">
        <v>1.0</v>
      </c>
      <c r="G1368" s="40">
        <v>46082.0</v>
      </c>
    </row>
    <row r="1369" ht="15.75" customHeight="1">
      <c r="A1369" s="4" t="s">
        <v>38</v>
      </c>
      <c r="B1369" s="4" t="s">
        <v>31</v>
      </c>
      <c r="C1369" s="4" t="s">
        <v>41</v>
      </c>
      <c r="D1369" s="4" t="s">
        <v>273</v>
      </c>
      <c r="E1369" s="4" t="s">
        <v>1732</v>
      </c>
      <c r="F1369" s="14">
        <v>1.0</v>
      </c>
      <c r="G1369" s="40">
        <v>46082.0</v>
      </c>
    </row>
    <row r="1370" ht="15.75" customHeight="1">
      <c r="A1370" s="4" t="s">
        <v>38</v>
      </c>
      <c r="B1370" s="4" t="s">
        <v>31</v>
      </c>
      <c r="C1370" s="4" t="s">
        <v>41</v>
      </c>
      <c r="D1370" s="4" t="s">
        <v>194</v>
      </c>
      <c r="E1370" s="4" t="s">
        <v>1733</v>
      </c>
      <c r="F1370" s="14">
        <v>0.5</v>
      </c>
      <c r="G1370" s="40">
        <v>46082.0</v>
      </c>
    </row>
    <row r="1371" ht="15.75" customHeight="1">
      <c r="A1371" s="4" t="s">
        <v>38</v>
      </c>
      <c r="B1371" s="4" t="s">
        <v>31</v>
      </c>
      <c r="C1371" s="4" t="s">
        <v>41</v>
      </c>
      <c r="D1371" s="4" t="s">
        <v>194</v>
      </c>
      <c r="E1371" s="4" t="s">
        <v>1734</v>
      </c>
      <c r="F1371" s="14">
        <v>0.5</v>
      </c>
      <c r="G1371" s="40">
        <v>46082.0</v>
      </c>
    </row>
    <row r="1372" ht="15.75" customHeight="1">
      <c r="A1372" s="4" t="s">
        <v>38</v>
      </c>
      <c r="B1372" s="4" t="s">
        <v>31</v>
      </c>
      <c r="C1372" s="4" t="s">
        <v>41</v>
      </c>
      <c r="D1372" s="4" t="s">
        <v>194</v>
      </c>
      <c r="E1372" s="4" t="s">
        <v>1735</v>
      </c>
      <c r="F1372" s="14">
        <v>0.5</v>
      </c>
      <c r="G1372" s="40">
        <v>46082.0</v>
      </c>
    </row>
    <row r="1373" ht="15.75" customHeight="1">
      <c r="A1373" s="4" t="s">
        <v>38</v>
      </c>
      <c r="B1373" s="4" t="s">
        <v>31</v>
      </c>
      <c r="C1373" s="4" t="s">
        <v>41</v>
      </c>
      <c r="D1373" s="4" t="s">
        <v>273</v>
      </c>
      <c r="E1373" s="4" t="s">
        <v>1736</v>
      </c>
      <c r="F1373" s="14">
        <v>1.0</v>
      </c>
      <c r="G1373" s="40">
        <v>46082.0</v>
      </c>
    </row>
    <row r="1374" ht="15.75" customHeight="1">
      <c r="A1374" s="4" t="s">
        <v>38</v>
      </c>
      <c r="B1374" s="4" t="s">
        <v>31</v>
      </c>
      <c r="C1374" s="4" t="s">
        <v>41</v>
      </c>
      <c r="D1374" s="4" t="s">
        <v>194</v>
      </c>
      <c r="E1374" s="4" t="s">
        <v>1737</v>
      </c>
      <c r="F1374" s="14">
        <v>0.5</v>
      </c>
      <c r="G1374" s="40">
        <v>46082.0</v>
      </c>
    </row>
    <row r="1375" ht="15.75" customHeight="1">
      <c r="A1375" s="4" t="s">
        <v>38</v>
      </c>
      <c r="B1375" s="4" t="s">
        <v>31</v>
      </c>
      <c r="C1375" s="4" t="s">
        <v>41</v>
      </c>
      <c r="D1375" s="4" t="s">
        <v>194</v>
      </c>
      <c r="E1375" s="4" t="s">
        <v>1738</v>
      </c>
      <c r="F1375" s="14">
        <v>0.5</v>
      </c>
      <c r="G1375" s="40">
        <v>46082.0</v>
      </c>
    </row>
    <row r="1376" ht="15.75" customHeight="1">
      <c r="A1376" s="4" t="s">
        <v>38</v>
      </c>
      <c r="B1376" s="4" t="s">
        <v>31</v>
      </c>
      <c r="C1376" s="4" t="s">
        <v>41</v>
      </c>
      <c r="D1376" s="4" t="s">
        <v>194</v>
      </c>
      <c r="E1376" s="4" t="s">
        <v>1739</v>
      </c>
      <c r="F1376" s="14">
        <v>0.5</v>
      </c>
      <c r="G1376" s="40">
        <v>46082.0</v>
      </c>
    </row>
    <row r="1377" ht="15.75" customHeight="1">
      <c r="A1377" s="4" t="s">
        <v>38</v>
      </c>
      <c r="B1377" s="4" t="s">
        <v>31</v>
      </c>
      <c r="C1377" s="4" t="s">
        <v>41</v>
      </c>
      <c r="D1377" s="4" t="s">
        <v>273</v>
      </c>
      <c r="E1377" s="4" t="s">
        <v>1740</v>
      </c>
      <c r="F1377" s="14">
        <v>1.0</v>
      </c>
      <c r="G1377" s="40">
        <v>46082.0</v>
      </c>
    </row>
    <row r="1378" ht="15.75" customHeight="1">
      <c r="A1378" s="4" t="s">
        <v>38</v>
      </c>
      <c r="B1378" s="4" t="s">
        <v>31</v>
      </c>
      <c r="C1378" s="4" t="s">
        <v>41</v>
      </c>
      <c r="D1378" s="4" t="s">
        <v>273</v>
      </c>
      <c r="E1378" s="4" t="s">
        <v>1741</v>
      </c>
      <c r="F1378" s="14">
        <v>1.0</v>
      </c>
      <c r="G1378" s="40">
        <v>46082.0</v>
      </c>
    </row>
    <row r="1379" ht="15.75" customHeight="1">
      <c r="A1379" s="4" t="s">
        <v>38</v>
      </c>
      <c r="B1379" s="4" t="s">
        <v>31</v>
      </c>
      <c r="C1379" s="4" t="s">
        <v>41</v>
      </c>
      <c r="D1379" s="4" t="s">
        <v>363</v>
      </c>
      <c r="E1379" s="4" t="s">
        <v>1742</v>
      </c>
      <c r="F1379" s="14">
        <v>2.0</v>
      </c>
      <c r="G1379" s="40">
        <v>46082.0</v>
      </c>
    </row>
    <row r="1380" ht="15.75" customHeight="1">
      <c r="A1380" s="4" t="s">
        <v>38</v>
      </c>
      <c r="B1380" s="4" t="s">
        <v>31</v>
      </c>
      <c r="C1380" s="4" t="s">
        <v>41</v>
      </c>
      <c r="D1380" s="4" t="s">
        <v>194</v>
      </c>
      <c r="E1380" s="4" t="s">
        <v>1743</v>
      </c>
      <c r="F1380" s="14">
        <v>0.5</v>
      </c>
      <c r="G1380" s="40">
        <v>46082.0</v>
      </c>
    </row>
    <row r="1381" ht="15.75" customHeight="1">
      <c r="A1381" s="4" t="s">
        <v>38</v>
      </c>
      <c r="B1381" s="4" t="s">
        <v>31</v>
      </c>
      <c r="C1381" s="4" t="s">
        <v>41</v>
      </c>
      <c r="D1381" s="4" t="s">
        <v>273</v>
      </c>
      <c r="E1381" s="4" t="s">
        <v>1744</v>
      </c>
      <c r="F1381" s="14">
        <v>1.0</v>
      </c>
      <c r="G1381" s="40">
        <v>46082.0</v>
      </c>
    </row>
    <row r="1382" ht="15.75" customHeight="1">
      <c r="A1382" s="4" t="s">
        <v>38</v>
      </c>
      <c r="B1382" s="4" t="s">
        <v>31</v>
      </c>
      <c r="C1382" s="4" t="s">
        <v>41</v>
      </c>
      <c r="D1382" s="4" t="s">
        <v>363</v>
      </c>
      <c r="E1382" s="4" t="s">
        <v>1745</v>
      </c>
      <c r="F1382" s="14">
        <v>2.0</v>
      </c>
      <c r="G1382" s="40">
        <v>46082.0</v>
      </c>
    </row>
    <row r="1383" ht="15.75" customHeight="1">
      <c r="A1383" s="4" t="s">
        <v>38</v>
      </c>
      <c r="B1383" s="4" t="s">
        <v>31</v>
      </c>
      <c r="C1383" s="4" t="s">
        <v>41</v>
      </c>
      <c r="D1383" s="4" t="s">
        <v>194</v>
      </c>
      <c r="E1383" s="4" t="s">
        <v>1746</v>
      </c>
      <c r="F1383" s="14">
        <v>0.5</v>
      </c>
      <c r="G1383" s="40">
        <v>46113.0</v>
      </c>
    </row>
    <row r="1384" ht="15.75" customHeight="1">
      <c r="A1384" s="4" t="s">
        <v>38</v>
      </c>
      <c r="B1384" s="4" t="s">
        <v>31</v>
      </c>
      <c r="C1384" s="4" t="s">
        <v>41</v>
      </c>
      <c r="D1384" s="4" t="s">
        <v>194</v>
      </c>
      <c r="E1384" s="4" t="s">
        <v>1748</v>
      </c>
      <c r="F1384" s="14">
        <v>0.5</v>
      </c>
      <c r="G1384" s="40">
        <v>46113.0</v>
      </c>
    </row>
    <row r="1385" ht="15.75" customHeight="1">
      <c r="A1385" s="4" t="s">
        <v>38</v>
      </c>
      <c r="B1385" s="4" t="s">
        <v>31</v>
      </c>
      <c r="C1385" s="4" t="s">
        <v>41</v>
      </c>
      <c r="D1385" s="4" t="s">
        <v>194</v>
      </c>
      <c r="E1385" s="4" t="s">
        <v>1749</v>
      </c>
      <c r="F1385" s="14">
        <v>0.5</v>
      </c>
      <c r="G1385" s="40">
        <v>46113.0</v>
      </c>
    </row>
    <row r="1386" ht="15.75" customHeight="1">
      <c r="A1386" s="4" t="s">
        <v>38</v>
      </c>
      <c r="B1386" s="4" t="s">
        <v>31</v>
      </c>
      <c r="C1386" s="4" t="s">
        <v>41</v>
      </c>
      <c r="D1386" s="4" t="s">
        <v>194</v>
      </c>
      <c r="E1386" s="4" t="s">
        <v>1750</v>
      </c>
      <c r="F1386" s="14">
        <v>0.5</v>
      </c>
      <c r="G1386" s="40">
        <v>46143.0</v>
      </c>
    </row>
    <row r="1387" ht="15.75" customHeight="1">
      <c r="A1387" s="4" t="s">
        <v>38</v>
      </c>
      <c r="B1387" s="4" t="s">
        <v>31</v>
      </c>
      <c r="C1387" s="4" t="s">
        <v>41</v>
      </c>
      <c r="D1387" s="4" t="s">
        <v>194</v>
      </c>
      <c r="E1387" s="4" t="s">
        <v>1751</v>
      </c>
      <c r="F1387" s="14">
        <v>0.5</v>
      </c>
      <c r="G1387" s="40">
        <v>46143.0</v>
      </c>
    </row>
    <row r="1388" ht="15.75" customHeight="1">
      <c r="A1388" s="4" t="s">
        <v>38</v>
      </c>
      <c r="B1388" s="4" t="s">
        <v>31</v>
      </c>
      <c r="C1388" s="4" t="s">
        <v>41</v>
      </c>
      <c r="D1388" s="4" t="s">
        <v>363</v>
      </c>
      <c r="E1388" s="4" t="s">
        <v>1752</v>
      </c>
      <c r="F1388" s="14">
        <v>2.0</v>
      </c>
      <c r="G1388" s="40">
        <v>46174.0</v>
      </c>
    </row>
    <row r="1389" ht="15.75" customHeight="1">
      <c r="A1389" s="4" t="s">
        <v>38</v>
      </c>
      <c r="B1389" s="4" t="s">
        <v>31</v>
      </c>
      <c r="C1389" s="4" t="s">
        <v>41</v>
      </c>
      <c r="D1389" s="4" t="s">
        <v>363</v>
      </c>
      <c r="E1389" s="4" t="s">
        <v>1753</v>
      </c>
      <c r="F1389" s="14">
        <v>2.0</v>
      </c>
      <c r="G1389" s="40">
        <v>46174.0</v>
      </c>
    </row>
    <row r="1390" ht="15.75" customHeight="1">
      <c r="A1390" s="4" t="s">
        <v>38</v>
      </c>
      <c r="B1390" s="4" t="s">
        <v>31</v>
      </c>
      <c r="C1390" s="4" t="s">
        <v>41</v>
      </c>
      <c r="D1390" s="4" t="s">
        <v>194</v>
      </c>
      <c r="E1390" s="4" t="s">
        <v>1754</v>
      </c>
      <c r="F1390" s="14">
        <v>0.5</v>
      </c>
      <c r="G1390" s="40">
        <v>46204.0</v>
      </c>
    </row>
    <row r="1391" ht="15.75" customHeight="1">
      <c r="A1391" s="4" t="s">
        <v>38</v>
      </c>
      <c r="B1391" s="4" t="s">
        <v>31</v>
      </c>
      <c r="C1391" s="4" t="s">
        <v>41</v>
      </c>
      <c r="D1391" s="4" t="s">
        <v>194</v>
      </c>
      <c r="E1391" s="4" t="s">
        <v>1755</v>
      </c>
      <c r="F1391" s="14">
        <v>0.5</v>
      </c>
      <c r="G1391" s="40">
        <v>46204.0</v>
      </c>
    </row>
    <row r="1392" ht="15.75" customHeight="1">
      <c r="A1392" s="4" t="s">
        <v>38</v>
      </c>
      <c r="B1392" s="4" t="s">
        <v>31</v>
      </c>
      <c r="C1392" s="4" t="s">
        <v>41</v>
      </c>
      <c r="D1392" s="4" t="s">
        <v>826</v>
      </c>
      <c r="E1392" s="4" t="s">
        <v>1756</v>
      </c>
      <c r="F1392" s="14">
        <v>3.0</v>
      </c>
      <c r="G1392" s="40">
        <v>46204.0</v>
      </c>
    </row>
    <row r="1393" ht="15.75" customHeight="1">
      <c r="A1393" s="4" t="s">
        <v>38</v>
      </c>
      <c r="B1393" s="4" t="s">
        <v>31</v>
      </c>
      <c r="C1393" s="4" t="s">
        <v>41</v>
      </c>
      <c r="D1393" s="4" t="s">
        <v>194</v>
      </c>
      <c r="E1393" s="4" t="s">
        <v>1757</v>
      </c>
      <c r="F1393" s="14">
        <v>0.5</v>
      </c>
      <c r="G1393" s="40">
        <v>46204.0</v>
      </c>
    </row>
    <row r="1394" ht="15.75" customHeight="1">
      <c r="A1394" s="4" t="s">
        <v>38</v>
      </c>
      <c r="B1394" s="4" t="s">
        <v>31</v>
      </c>
      <c r="C1394" s="4" t="s">
        <v>41</v>
      </c>
      <c r="D1394" s="4" t="s">
        <v>194</v>
      </c>
      <c r="E1394" s="4" t="s">
        <v>1758</v>
      </c>
      <c r="F1394" s="14">
        <v>0.5</v>
      </c>
      <c r="G1394" s="40">
        <v>46204.0</v>
      </c>
    </row>
    <row r="1395" ht="15.75" customHeight="1">
      <c r="A1395" s="4" t="s">
        <v>38</v>
      </c>
      <c r="B1395" s="4" t="s">
        <v>31</v>
      </c>
      <c r="C1395" s="4" t="s">
        <v>41</v>
      </c>
      <c r="D1395" s="4" t="s">
        <v>194</v>
      </c>
      <c r="E1395" s="4" t="s">
        <v>1759</v>
      </c>
      <c r="F1395" s="14">
        <v>0.5</v>
      </c>
      <c r="G1395" s="40">
        <v>46204.0</v>
      </c>
    </row>
    <row r="1396" ht="15.75" customHeight="1">
      <c r="A1396" s="4" t="s">
        <v>38</v>
      </c>
      <c r="B1396" s="4" t="s">
        <v>31</v>
      </c>
      <c r="C1396" s="4" t="s">
        <v>41</v>
      </c>
      <c r="D1396" s="4" t="s">
        <v>194</v>
      </c>
      <c r="E1396" s="4" t="s">
        <v>1760</v>
      </c>
      <c r="F1396" s="14">
        <v>0.5</v>
      </c>
      <c r="G1396" s="40">
        <v>46204.0</v>
      </c>
    </row>
    <row r="1397" ht="15.75" customHeight="1">
      <c r="A1397" s="4" t="s">
        <v>38</v>
      </c>
      <c r="B1397" s="4" t="s">
        <v>31</v>
      </c>
      <c r="C1397" s="4" t="s">
        <v>41</v>
      </c>
      <c r="D1397" s="4" t="s">
        <v>283</v>
      </c>
      <c r="E1397" s="4" t="s">
        <v>1761</v>
      </c>
      <c r="F1397" s="14">
        <v>1.5</v>
      </c>
      <c r="G1397" s="40">
        <v>46204.0</v>
      </c>
    </row>
  </sheetData>
  <autoFilter ref="$A$1:$G$1397">
    <sortState ref="A1:G1397">
      <sortCondition ref="E1:E1397"/>
      <sortCondition ref="A1:A1397"/>
      <sortCondition ref="G1:G1397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13"/>
    <col customWidth="1" min="47" max="47" width="25.5"/>
  </cols>
  <sheetData>
    <row r="1" ht="15.75" customHeight="1">
      <c r="A1" s="12" t="str">
        <f>IFERROR(__xludf.DUMMYFUNCTION("query(LogPull!A:G,""SELECT Col1,Col7,SUM(Col6) GROUP BY Col7, Col1 ORDER BY Col7 ASC, Col1 ASC label Col1 'Project', Col7 'Month', SUM(Col6) 'Hours'"",1)"),"Project")</f>
        <v>Project</v>
      </c>
      <c r="B1" s="12" t="str">
        <f>IFERROR(__xludf.DUMMYFUNCTION("""COMPUTED_VALUE"""),"Month")</f>
        <v>Month</v>
      </c>
      <c r="C1" s="47" t="str">
        <f>IFERROR(__xludf.DUMMYFUNCTION("""COMPUTED_VALUE"""),"Hours")</f>
        <v>Hours</v>
      </c>
      <c r="D1" s="12"/>
      <c r="E1" s="48" t="s">
        <v>375</v>
      </c>
      <c r="F1" s="1"/>
      <c r="G1" s="1" t="s">
        <v>379</v>
      </c>
      <c r="I1" s="49" t="s">
        <v>380</v>
      </c>
      <c r="O1" s="12"/>
      <c r="P1" s="50" t="s">
        <v>383</v>
      </c>
      <c r="Y1" s="1"/>
      <c r="Z1" s="51" t="s">
        <v>385</v>
      </c>
      <c r="AE1" s="1"/>
      <c r="AF1" s="52" t="s">
        <v>388</v>
      </c>
      <c r="AK1" s="1"/>
      <c r="AL1" s="54" t="s">
        <v>391</v>
      </c>
      <c r="AT1" s="1"/>
      <c r="AV1" s="4"/>
      <c r="AW1" s="4"/>
      <c r="AY1" s="4"/>
      <c r="AZ1" s="4"/>
      <c r="BA1" s="4"/>
    </row>
    <row r="2" ht="15.75" customHeight="1">
      <c r="A2" s="15" t="str">
        <f>IFERROR(__xludf.DUMMYFUNCTION("""COMPUTED_VALUE"""),"CEOT")</f>
        <v>CEOT</v>
      </c>
      <c r="B2" s="45">
        <f>IFERROR(__xludf.DUMMYFUNCTION("""COMPUTED_VALUE"""),46023.0)</f>
        <v>46023</v>
      </c>
      <c r="C2" s="55">
        <f>IFERROR(__xludf.DUMMYFUNCTION("""COMPUTED_VALUE"""),13.25)</f>
        <v>13.25</v>
      </c>
      <c r="F2" s="56"/>
      <c r="G2" s="56">
        <v>46023.0</v>
      </c>
      <c r="I2" s="4" t="s">
        <v>397</v>
      </c>
      <c r="J2" s="4" t="s">
        <v>398</v>
      </c>
      <c r="K2" s="4" t="s">
        <v>38</v>
      </c>
      <c r="L2" s="4" t="s">
        <v>314</v>
      </c>
      <c r="M2" s="4" t="s">
        <v>93</v>
      </c>
      <c r="N2" s="4" t="s">
        <v>53</v>
      </c>
      <c r="P2" s="4" t="s">
        <v>402</v>
      </c>
      <c r="Q2" s="4" t="s">
        <v>403</v>
      </c>
      <c r="R2" s="4" t="s">
        <v>405</v>
      </c>
      <c r="S2" s="4" t="s">
        <v>38</v>
      </c>
      <c r="T2" s="4" t="s">
        <v>314</v>
      </c>
      <c r="U2" s="4" t="s">
        <v>93</v>
      </c>
      <c r="V2" s="4" t="s">
        <v>53</v>
      </c>
      <c r="W2" s="4" t="s">
        <v>253</v>
      </c>
      <c r="X2" s="4" t="s">
        <v>409</v>
      </c>
      <c r="Y2" s="4"/>
      <c r="Z2" s="4" t="s">
        <v>38</v>
      </c>
      <c r="AA2" s="4" t="s">
        <v>314</v>
      </c>
      <c r="AB2" s="4" t="s">
        <v>93</v>
      </c>
      <c r="AC2" s="4" t="s">
        <v>53</v>
      </c>
      <c r="AD2" s="4" t="s">
        <v>414</v>
      </c>
      <c r="AE2" s="4"/>
      <c r="AF2" s="4" t="s">
        <v>38</v>
      </c>
      <c r="AG2" s="4" t="s">
        <v>314</v>
      </c>
      <c r="AH2" s="4" t="s">
        <v>93</v>
      </c>
      <c r="AI2" s="4" t="s">
        <v>53</v>
      </c>
      <c r="AJ2" s="4" t="s">
        <v>414</v>
      </c>
      <c r="AL2" s="4" t="s">
        <v>418</v>
      </c>
      <c r="AM2" s="4" t="s">
        <v>38</v>
      </c>
      <c r="AN2" s="4" t="s">
        <v>314</v>
      </c>
      <c r="AO2" s="4" t="s">
        <v>93</v>
      </c>
      <c r="AP2" s="4" t="s">
        <v>53</v>
      </c>
      <c r="AQ2" s="4" t="s">
        <v>424</v>
      </c>
      <c r="AR2" s="4" t="s">
        <v>426</v>
      </c>
      <c r="AS2" s="4" t="s">
        <v>414</v>
      </c>
      <c r="AT2" s="4"/>
      <c r="AV2" s="4"/>
      <c r="AW2" s="4"/>
      <c r="AX2" s="4"/>
      <c r="AY2" s="4"/>
      <c r="AZ2" s="4"/>
      <c r="BA2" s="4"/>
    </row>
    <row r="3" ht="15.75" customHeight="1">
      <c r="A3" s="15" t="str">
        <f>IFERROR(__xludf.DUMMYFUNCTION("""COMPUTED_VALUE"""),"MP")</f>
        <v>MP</v>
      </c>
      <c r="B3" s="45">
        <f>IFERROR(__xludf.DUMMYFUNCTION("""COMPUTED_VALUE"""),46023.0)</f>
        <v>46023</v>
      </c>
      <c r="C3" s="55">
        <f>IFERROR(__xludf.DUMMYFUNCTION("""COMPUTED_VALUE"""),66.0)</f>
        <v>66</v>
      </c>
      <c r="E3" s="15" t="str">
        <f t="shared" ref="E3:E14" si="2">text(P3,"MMM YYYY")&amp;": "
&amp;char(10)&amp;"• "&amp;S$2&amp;": "&amp;round(Z3,2)&amp;"/"&amp;round(S3,2)&amp;" ("&amp;round(AF3*100,1)&amp;"%)"
&amp;char(10)&amp;"• "&amp;T$2&amp;": "&amp;round(AA3,2)&amp;"/"&amp;round(T3,2)&amp;" ("&amp;round(AG3*100,1)&amp;"%)"
&amp;char(10)&amp;"• "&amp;U$2&amp;": "&amp;round(AB3,2)&amp;"/"&amp;round(U3,2)&amp;" ("&amp;round(AH3*100,1)&amp;"%)"
&amp;char(10)&amp;"• "&amp;V$2&amp;": "&amp;round(AC3,2)&amp;"/"&amp;round(V3,2)&amp;" ("&amp;round(AI3*100,1)&amp;"%)"
&amp;char(10)&amp;"• TOTAL: "&amp;round(SUM(Z3:AC3),2)&amp;"/"&amp;round(SUM(S3:V3),2)&amp;" ("&amp;round(AJ3*100,1)&amp;"%)"</f>
        <v>Jan 2026: 
• CEOT: 13.25/38 (34.9%)
• MITA: 0/0 (0%)
• MP: 66/17.25 (382.6%)
• WMEPO: 64.75/42 (154.2%)
• TOTAL: 144/97.25 (148.1%)</v>
      </c>
      <c r="F3" s="56"/>
      <c r="G3" s="56">
        <v>46041.0</v>
      </c>
      <c r="I3" s="56">
        <v>46023.0</v>
      </c>
      <c r="J3" s="4" t="s">
        <v>459</v>
      </c>
      <c r="M3" s="4">
        <v>0.75</v>
      </c>
      <c r="N3" s="4">
        <v>4.0</v>
      </c>
      <c r="P3" s="56">
        <v>46023.0</v>
      </c>
      <c r="Q3" s="4">
        <f t="shared" ref="Q3:Q14" si="3">networkdays(P3,eomonth(P3,0),$G$2:$G$10)</f>
        <v>20</v>
      </c>
      <c r="R3" s="4">
        <f t="shared" ref="R3:R14" si="4">Q3*8</f>
        <v>160</v>
      </c>
      <c r="S3" s="4">
        <f t="shared" ref="S3:S14" si="5">if(today()&gt;eomonth(P3,0),sumifs(K:K,$I:$I,"&gt;="&amp;$P3,$I:$I,"&lt;="&amp;eomonth($P3,0)),"")</f>
        <v>38</v>
      </c>
      <c r="T3" s="4">
        <f t="shared" ref="T3:T14" si="6">if(today()&gt;eomonth(P3,0),sumifs(L:L,$I:$I,"&gt;="&amp;$P3,$I:$I,"&lt;="&amp;eomonth($P3,0)),"")</f>
        <v>0</v>
      </c>
      <c r="U3" s="4">
        <f t="shared" ref="U3:U14" si="7">if(today()&gt;eomonth(P3,0),sumifs(M:M,$I:$I,"&gt;="&amp;$P3,$I:$I,"&lt;="&amp;eomonth($P3,0)),"")</f>
        <v>17.25</v>
      </c>
      <c r="V3" s="4">
        <f t="shared" ref="V3:V14" si="8">if(today()&gt;eomonth(P3,0),sumifs(N:N,$I:$I,"&gt;="&amp;$P3,$I:$I,"&lt;="&amp;eomonth($P3,0)),"")</f>
        <v>42</v>
      </c>
      <c r="W3" s="57">
        <f t="shared" ref="W3:W14" si="9">if(today()&gt;eomonth(P3,0),sum(S3:V3),"")</f>
        <v>97.25</v>
      </c>
      <c r="X3" s="58">
        <f t="shared" ref="X3:X14" si="10">if(today()&gt;eomonth(P3,0),W3/R3,"")</f>
        <v>0.6078125</v>
      </c>
      <c r="Y3" s="4"/>
      <c r="Z3" s="59">
        <f t="shared" ref="Z3:Z14" si="11">if(today()&gt;eomonth(P3,0),sumifs($C:$C,$A:$A,Z$2,$B:$B,$P3),"")</f>
        <v>13.25</v>
      </c>
      <c r="AA3" s="59">
        <f t="shared" ref="AA3:AA14" si="12">if(today()&gt;eomonth(P3,0),sumifs($C:$C,$A:$A,AA$2,$B:$B,$P3),"")</f>
        <v>0</v>
      </c>
      <c r="AB3" s="59">
        <f t="shared" ref="AB3:AB14" si="13">if(today()&gt;eomonth(P3,0),sumifs($C:$C,$A:$A,AB$2,$B:$B,$P3),"")</f>
        <v>66</v>
      </c>
      <c r="AC3" s="59">
        <f t="shared" ref="AC3:AC14" si="14">if(today()&gt;eomonth(P3,0),sumifs($C:$C,$A:$A,AC$2,$B:$B,$P3),"")</f>
        <v>64.75</v>
      </c>
      <c r="AD3" s="59">
        <f t="shared" ref="AD3:AD14" si="15">if(today()&gt;eomonth(P3,0),sum(Z3:AC3),"")</f>
        <v>144</v>
      </c>
      <c r="AE3" s="4"/>
      <c r="AF3" s="58">
        <f t="shared" ref="AF3:AJ3" si="1">iferror(Z3/S3,"")</f>
        <v>0.3486842105</v>
      </c>
      <c r="AG3" s="58" t="str">
        <f t="shared" si="1"/>
        <v/>
      </c>
      <c r="AH3" s="58">
        <f t="shared" si="1"/>
        <v>3.826086957</v>
      </c>
      <c r="AI3" s="58">
        <f t="shared" si="1"/>
        <v>1.541666667</v>
      </c>
      <c r="AJ3" s="60">
        <f t="shared" si="1"/>
        <v>1.480719794</v>
      </c>
      <c r="AL3" s="61">
        <v>46023.0</v>
      </c>
      <c r="AM3" s="60">
        <f t="shared" ref="AM3:AM14" si="17">if(today()&gt;eomonth(P3,0),iferror(sum(Z$3:Z3)/sum(S$3:S3),""),"")</f>
        <v>0.3486842105</v>
      </c>
      <c r="AN3" s="60" t="str">
        <f t="shared" ref="AN3:AN14" si="18">if(today()&gt;eomonth(P3,0),iferror(sum(AA$3:AA3)/sum(T$3:T3),""),"")</f>
        <v/>
      </c>
      <c r="AO3" s="60">
        <f t="shared" ref="AO3:AO14" si="19">if(today()&gt;eomonth(P3,0),iferror(sum(AB$3:AB3)/sum(U$3:U3),""),"")</f>
        <v>3.826086957</v>
      </c>
      <c r="AP3" s="60">
        <f t="shared" ref="AP3:AP14" si="20">if(today()&gt;eomonth(P3,0),iferror(sum(AC$3:AC3)/sum(V$3:V3),""),"")</f>
        <v>1.541666667</v>
      </c>
      <c r="AQ3" s="58">
        <v>0.95</v>
      </c>
      <c r="AR3" s="58">
        <v>1.05</v>
      </c>
      <c r="AS3" s="58">
        <f t="shared" ref="AS3:AS14" si="22">if(today()&gt;eomonth(P3,0),sum($AD$3:$AD3)/sum($W$3:$W3),"")</f>
        <v>1.480719794</v>
      </c>
      <c r="AW3" s="59"/>
      <c r="AY3" s="4"/>
      <c r="AZ3" s="4"/>
      <c r="BA3" s="4"/>
    </row>
    <row r="4" ht="15.75" customHeight="1">
      <c r="A4" s="15" t="str">
        <f>IFERROR(__xludf.DUMMYFUNCTION("""COMPUTED_VALUE"""),"WMEPO")</f>
        <v>WMEPO</v>
      </c>
      <c r="B4" s="45">
        <f>IFERROR(__xludf.DUMMYFUNCTION("""COMPUTED_VALUE"""),46023.0)</f>
        <v>46023</v>
      </c>
      <c r="C4" s="55">
        <f>IFERROR(__xludf.DUMMYFUNCTION("""COMPUTED_VALUE"""),64.75)</f>
        <v>64.75</v>
      </c>
      <c r="E4" s="15" t="str">
        <f t="shared" si="2"/>
        <v>Feb 2026: 
• CEOT: 34/38 (89.5%)
• MITA: 24.25/60 (40.4%)
• MP: 68/20 (340%)
• WMEPO: 61.25/40 (153.1%)
• TOTAL: 187.5/158 (118.7%)</v>
      </c>
      <c r="F4" s="56"/>
      <c r="G4" s="56">
        <v>46167.0</v>
      </c>
      <c r="I4" s="56">
        <v>46027.0</v>
      </c>
      <c r="J4" s="4" t="s">
        <v>545</v>
      </c>
      <c r="K4" s="4">
        <v>10.0</v>
      </c>
      <c r="M4" s="4">
        <v>3.75</v>
      </c>
      <c r="N4" s="4">
        <v>10.0</v>
      </c>
      <c r="P4" s="56">
        <v>46054.0</v>
      </c>
      <c r="Q4" s="4">
        <f t="shared" si="3"/>
        <v>20</v>
      </c>
      <c r="R4" s="4">
        <f t="shared" si="4"/>
        <v>160</v>
      </c>
      <c r="S4" s="4">
        <f t="shared" si="5"/>
        <v>38</v>
      </c>
      <c r="T4" s="4">
        <f t="shared" si="6"/>
        <v>60</v>
      </c>
      <c r="U4" s="4">
        <f t="shared" si="7"/>
        <v>20</v>
      </c>
      <c r="V4" s="4">
        <f t="shared" si="8"/>
        <v>40</v>
      </c>
      <c r="W4" s="57">
        <f t="shared" si="9"/>
        <v>158</v>
      </c>
      <c r="X4" s="58">
        <f t="shared" si="10"/>
        <v>0.9875</v>
      </c>
      <c r="Y4" s="4"/>
      <c r="Z4" s="59">
        <f t="shared" si="11"/>
        <v>34</v>
      </c>
      <c r="AA4" s="59">
        <f t="shared" si="12"/>
        <v>24.25</v>
      </c>
      <c r="AB4" s="59">
        <f t="shared" si="13"/>
        <v>68</v>
      </c>
      <c r="AC4" s="59">
        <f t="shared" si="14"/>
        <v>61.25</v>
      </c>
      <c r="AD4" s="59">
        <f t="shared" si="15"/>
        <v>187.5</v>
      </c>
      <c r="AE4" s="4"/>
      <c r="AF4" s="58">
        <f t="shared" ref="AF4:AJ4" si="16">iferror(Z4/S4,"")</f>
        <v>0.8947368421</v>
      </c>
      <c r="AG4" s="58">
        <f t="shared" si="16"/>
        <v>0.4041666667</v>
      </c>
      <c r="AH4" s="58">
        <f t="shared" si="16"/>
        <v>3.4</v>
      </c>
      <c r="AI4" s="58">
        <f t="shared" si="16"/>
        <v>1.53125</v>
      </c>
      <c r="AJ4" s="60">
        <f t="shared" si="16"/>
        <v>1.186708861</v>
      </c>
      <c r="AL4" s="61">
        <v>46054.0</v>
      </c>
      <c r="AM4" s="60">
        <f t="shared" si="17"/>
        <v>0.6217105263</v>
      </c>
      <c r="AN4" s="60">
        <f t="shared" si="18"/>
        <v>0.4041666667</v>
      </c>
      <c r="AO4" s="60">
        <f t="shared" si="19"/>
        <v>3.597315436</v>
      </c>
      <c r="AP4" s="60">
        <f t="shared" si="20"/>
        <v>1.536585366</v>
      </c>
      <c r="AQ4" s="58">
        <f t="shared" ref="AQ4:AR4" si="21">AQ3</f>
        <v>0.95</v>
      </c>
      <c r="AR4" s="58">
        <f t="shared" si="21"/>
        <v>1.05</v>
      </c>
      <c r="AS4" s="58">
        <f t="shared" si="22"/>
        <v>1.298726738</v>
      </c>
      <c r="AT4" s="4"/>
      <c r="AW4" s="59"/>
      <c r="AY4" s="4"/>
      <c r="AZ4" s="4"/>
      <c r="BA4" s="4"/>
    </row>
    <row r="5" ht="15.75" customHeight="1">
      <c r="A5" s="15" t="str">
        <f>IFERROR(__xludf.DUMMYFUNCTION("""COMPUTED_VALUE"""),"CEOT")</f>
        <v>CEOT</v>
      </c>
      <c r="B5" s="45">
        <f>IFERROR(__xludf.DUMMYFUNCTION("""COMPUTED_VALUE"""),46054.0)</f>
        <v>46054</v>
      </c>
      <c r="C5" s="55">
        <f>IFERROR(__xludf.DUMMYFUNCTION("""COMPUTED_VALUE"""),34.0)</f>
        <v>34</v>
      </c>
      <c r="E5" s="15" t="str">
        <f t="shared" si="2"/>
        <v>Mar 2026: 
• CEOT: 43.58/44 (99.1%)
• MITA: 40/88 (45.5%)
• MP: 51.75/22 (235.2%)
• WMEPO: 36.25/44 (82.4%)
• TOTAL: 171.58/198 (86.7%)</v>
      </c>
      <c r="F5" s="56"/>
      <c r="G5" s="56">
        <v>46192.0</v>
      </c>
      <c r="I5" s="56">
        <v>46034.0</v>
      </c>
      <c r="J5" s="4" t="s">
        <v>545</v>
      </c>
      <c r="K5" s="4">
        <v>10.0</v>
      </c>
      <c r="M5" s="4">
        <v>3.75</v>
      </c>
      <c r="N5" s="4">
        <v>10.0</v>
      </c>
      <c r="P5" s="56">
        <v>46082.0</v>
      </c>
      <c r="Q5" s="4">
        <f t="shared" si="3"/>
        <v>22</v>
      </c>
      <c r="R5" s="4">
        <f t="shared" si="4"/>
        <v>176</v>
      </c>
      <c r="S5" s="4">
        <f t="shared" si="5"/>
        <v>44</v>
      </c>
      <c r="T5" s="4">
        <f t="shared" si="6"/>
        <v>88</v>
      </c>
      <c r="U5" s="4">
        <f t="shared" si="7"/>
        <v>22</v>
      </c>
      <c r="V5" s="4">
        <f t="shared" si="8"/>
        <v>44</v>
      </c>
      <c r="W5" s="57">
        <f t="shared" si="9"/>
        <v>198</v>
      </c>
      <c r="X5" s="58">
        <f t="shared" si="10"/>
        <v>1.125</v>
      </c>
      <c r="Y5" s="4"/>
      <c r="Z5" s="59">
        <f t="shared" si="11"/>
        <v>43.58333333</v>
      </c>
      <c r="AA5" s="59">
        <f t="shared" si="12"/>
        <v>40</v>
      </c>
      <c r="AB5" s="59">
        <f t="shared" si="13"/>
        <v>51.75</v>
      </c>
      <c r="AC5" s="59">
        <f t="shared" si="14"/>
        <v>36.25</v>
      </c>
      <c r="AD5" s="59">
        <f t="shared" si="15"/>
        <v>171.5833333</v>
      </c>
      <c r="AE5" s="4"/>
      <c r="AF5" s="58">
        <f t="shared" ref="AF5:AJ5" si="23">iferror(Z5/S5,"")</f>
        <v>0.990530303</v>
      </c>
      <c r="AG5" s="58">
        <f t="shared" si="23"/>
        <v>0.4545454545</v>
      </c>
      <c r="AH5" s="58">
        <f t="shared" si="23"/>
        <v>2.352272727</v>
      </c>
      <c r="AI5" s="58">
        <f t="shared" si="23"/>
        <v>0.8238636364</v>
      </c>
      <c r="AJ5" s="60">
        <f t="shared" si="23"/>
        <v>0.8665824916</v>
      </c>
      <c r="AL5" s="61">
        <v>46082.0</v>
      </c>
      <c r="AM5" s="60">
        <f t="shared" si="17"/>
        <v>0.7569444444</v>
      </c>
      <c r="AN5" s="60">
        <f t="shared" si="18"/>
        <v>0.4341216216</v>
      </c>
      <c r="AO5" s="60">
        <f t="shared" si="19"/>
        <v>3.135021097</v>
      </c>
      <c r="AP5" s="60">
        <f t="shared" si="20"/>
        <v>1.287698413</v>
      </c>
      <c r="AQ5" s="58">
        <f t="shared" ref="AQ5:AR5" si="24">AQ4</f>
        <v>0.95</v>
      </c>
      <c r="AR5" s="58">
        <f t="shared" si="24"/>
        <v>1.05</v>
      </c>
      <c r="AS5" s="58">
        <f t="shared" si="22"/>
        <v>1.109946681</v>
      </c>
      <c r="AT5" s="4"/>
      <c r="AW5" s="59"/>
      <c r="AY5" s="4"/>
      <c r="AZ5" s="4"/>
      <c r="BA5" s="4"/>
    </row>
    <row r="6" ht="15.75" customHeight="1">
      <c r="A6" s="15" t="str">
        <f>IFERROR(__xludf.DUMMYFUNCTION("""COMPUTED_VALUE"""),"MITA")</f>
        <v>MITA</v>
      </c>
      <c r="B6" s="45">
        <f>IFERROR(__xludf.DUMMYFUNCTION("""COMPUTED_VALUE"""),46054.0)</f>
        <v>46054</v>
      </c>
      <c r="C6" s="55">
        <f>IFERROR(__xludf.DUMMYFUNCTION("""COMPUTED_VALUE"""),24.25)</f>
        <v>24.25</v>
      </c>
      <c r="E6" s="15" t="str">
        <f t="shared" si="2"/>
        <v>Apr 2026: 
• CEOT: 52.25/44 (118.8%)
• MITA: 67.5/88 (76.7%)
• MP: 27.75/22 (126.1%)
• WMEPO: 30.5/44 (69.3%)
• TOTAL: 178/198 (89.9%)</v>
      </c>
      <c r="F6" s="56"/>
      <c r="G6" s="56">
        <v>46206.0</v>
      </c>
      <c r="I6" s="56">
        <v>46041.0</v>
      </c>
      <c r="J6" s="4" t="s">
        <v>545</v>
      </c>
      <c r="K6" s="4">
        <v>8.0</v>
      </c>
      <c r="M6" s="4">
        <v>4.0</v>
      </c>
      <c r="N6" s="4">
        <v>8.0</v>
      </c>
      <c r="P6" s="56">
        <v>46113.0</v>
      </c>
      <c r="Q6" s="4">
        <f t="shared" si="3"/>
        <v>22</v>
      </c>
      <c r="R6" s="4">
        <f t="shared" si="4"/>
        <v>176</v>
      </c>
      <c r="S6" s="4">
        <f t="shared" si="5"/>
        <v>44</v>
      </c>
      <c r="T6" s="4">
        <f t="shared" si="6"/>
        <v>88</v>
      </c>
      <c r="U6" s="4">
        <f t="shared" si="7"/>
        <v>22</v>
      </c>
      <c r="V6" s="4">
        <f t="shared" si="8"/>
        <v>44</v>
      </c>
      <c r="W6" s="57">
        <f t="shared" si="9"/>
        <v>198</v>
      </c>
      <c r="X6" s="58">
        <f t="shared" si="10"/>
        <v>1.125</v>
      </c>
      <c r="Y6" s="4"/>
      <c r="Z6" s="59">
        <f t="shared" si="11"/>
        <v>52.25</v>
      </c>
      <c r="AA6" s="59">
        <f t="shared" si="12"/>
        <v>67.5</v>
      </c>
      <c r="AB6" s="59">
        <f t="shared" si="13"/>
        <v>27.75</v>
      </c>
      <c r="AC6" s="59">
        <f t="shared" si="14"/>
        <v>30.5</v>
      </c>
      <c r="AD6" s="59">
        <f t="shared" si="15"/>
        <v>178</v>
      </c>
      <c r="AE6" s="4"/>
      <c r="AF6" s="58">
        <f t="shared" ref="AF6:AJ6" si="25">iferror(Z6/S6,"")</f>
        <v>1.1875</v>
      </c>
      <c r="AG6" s="58">
        <f t="shared" si="25"/>
        <v>0.7670454545</v>
      </c>
      <c r="AH6" s="58">
        <f t="shared" si="25"/>
        <v>1.261363636</v>
      </c>
      <c r="AI6" s="58">
        <f t="shared" si="25"/>
        <v>0.6931818182</v>
      </c>
      <c r="AJ6" s="60">
        <f t="shared" si="25"/>
        <v>0.898989899</v>
      </c>
      <c r="AL6" s="61">
        <v>46113.0</v>
      </c>
      <c r="AM6" s="60">
        <f t="shared" si="17"/>
        <v>0.8724593496</v>
      </c>
      <c r="AN6" s="60">
        <f t="shared" si="18"/>
        <v>0.5582627119</v>
      </c>
      <c r="AO6" s="60">
        <f t="shared" si="19"/>
        <v>2.627692308</v>
      </c>
      <c r="AP6" s="60">
        <f t="shared" si="20"/>
        <v>1.133823529</v>
      </c>
      <c r="AQ6" s="58">
        <f t="shared" ref="AQ6:AR6" si="26">AQ5</f>
        <v>0.95</v>
      </c>
      <c r="AR6" s="58">
        <f t="shared" si="26"/>
        <v>1.05</v>
      </c>
      <c r="AS6" s="58">
        <f t="shared" si="22"/>
        <v>1.045809341</v>
      </c>
      <c r="AT6" s="4"/>
      <c r="AW6" s="59"/>
      <c r="AY6" s="4"/>
      <c r="AZ6" s="4"/>
      <c r="BA6" s="4"/>
    </row>
    <row r="7" ht="15.75" customHeight="1">
      <c r="A7" s="15" t="str">
        <f>IFERROR(__xludf.DUMMYFUNCTION("""COMPUTED_VALUE"""),"MP")</f>
        <v>MP</v>
      </c>
      <c r="B7" s="45">
        <f>IFERROR(__xludf.DUMMYFUNCTION("""COMPUTED_VALUE"""),46054.0)</f>
        <v>46054</v>
      </c>
      <c r="C7" s="55">
        <f>IFERROR(__xludf.DUMMYFUNCTION("""COMPUTED_VALUE"""),68.0)</f>
        <v>68</v>
      </c>
      <c r="E7" s="15" t="str">
        <f t="shared" si="2"/>
        <v>May 2026: 
• CEOT: 42.25/68 (62.1%)
• MITA: 7.5/24 (31.3%)
• MP: 54.25/20 (271.3%)
• WMEPO: 38/40 (95%)
• TOTAL: 142/152 (93.4%)</v>
      </c>
      <c r="F7" s="56"/>
      <c r="G7" s="56">
        <v>46272.0</v>
      </c>
      <c r="I7" s="56">
        <v>46048.0</v>
      </c>
      <c r="J7" s="4" t="s">
        <v>545</v>
      </c>
      <c r="K7" s="4">
        <v>10.0</v>
      </c>
      <c r="M7" s="4">
        <v>5.0</v>
      </c>
      <c r="N7" s="4">
        <v>10.0</v>
      </c>
      <c r="P7" s="56">
        <v>46143.0</v>
      </c>
      <c r="Q7" s="4">
        <f t="shared" si="3"/>
        <v>20</v>
      </c>
      <c r="R7" s="4">
        <f t="shared" si="4"/>
        <v>160</v>
      </c>
      <c r="S7" s="4">
        <f t="shared" si="5"/>
        <v>68</v>
      </c>
      <c r="T7" s="4">
        <f t="shared" si="6"/>
        <v>24</v>
      </c>
      <c r="U7" s="4">
        <f t="shared" si="7"/>
        <v>20</v>
      </c>
      <c r="V7" s="4">
        <f t="shared" si="8"/>
        <v>40</v>
      </c>
      <c r="W7" s="57">
        <f t="shared" si="9"/>
        <v>152</v>
      </c>
      <c r="X7" s="58">
        <f t="shared" si="10"/>
        <v>0.95</v>
      </c>
      <c r="Y7" s="4"/>
      <c r="Z7" s="59">
        <f t="shared" si="11"/>
        <v>42.25</v>
      </c>
      <c r="AA7" s="59">
        <f t="shared" si="12"/>
        <v>7.5</v>
      </c>
      <c r="AB7" s="59">
        <f t="shared" si="13"/>
        <v>54.25</v>
      </c>
      <c r="AC7" s="59">
        <f t="shared" si="14"/>
        <v>38</v>
      </c>
      <c r="AD7" s="59">
        <f t="shared" si="15"/>
        <v>142</v>
      </c>
      <c r="AE7" s="4"/>
      <c r="AF7" s="58">
        <f t="shared" ref="AF7:AJ7" si="27">iferror(Z7/S7,"")</f>
        <v>0.6213235294</v>
      </c>
      <c r="AG7" s="58">
        <f t="shared" si="27"/>
        <v>0.3125</v>
      </c>
      <c r="AH7" s="58">
        <f t="shared" si="27"/>
        <v>2.7125</v>
      </c>
      <c r="AI7" s="58">
        <f t="shared" si="27"/>
        <v>0.95</v>
      </c>
      <c r="AJ7" s="60">
        <f t="shared" si="27"/>
        <v>0.9342105263</v>
      </c>
      <c r="AL7" s="61">
        <v>46143.0</v>
      </c>
      <c r="AM7" s="60">
        <f t="shared" si="17"/>
        <v>0.7988505747</v>
      </c>
      <c r="AN7" s="60">
        <f t="shared" si="18"/>
        <v>0.5355769231</v>
      </c>
      <c r="AO7" s="60">
        <f t="shared" si="19"/>
        <v>2.644444444</v>
      </c>
      <c r="AP7" s="60">
        <f t="shared" si="20"/>
        <v>1.098809524</v>
      </c>
      <c r="AQ7" s="58">
        <f t="shared" ref="AQ7:AR7" si="28">AQ6</f>
        <v>0.95</v>
      </c>
      <c r="AR7" s="58">
        <f t="shared" si="28"/>
        <v>1.05</v>
      </c>
      <c r="AS7" s="58">
        <f t="shared" si="22"/>
        <v>1.024691358</v>
      </c>
      <c r="AT7" s="4"/>
      <c r="AW7" s="59"/>
      <c r="AY7" s="4"/>
      <c r="AZ7" s="4"/>
      <c r="BA7" s="4"/>
    </row>
    <row r="8" ht="15.75" customHeight="1">
      <c r="A8" s="15" t="str">
        <f>IFERROR(__xludf.DUMMYFUNCTION("""COMPUTED_VALUE"""),"WMEPO")</f>
        <v>WMEPO</v>
      </c>
      <c r="B8" s="45">
        <f>IFERROR(__xludf.DUMMYFUNCTION("""COMPUTED_VALUE"""),46054.0)</f>
        <v>46054</v>
      </c>
      <c r="C8" s="55">
        <f>IFERROR(__xludf.DUMMYFUNCTION("""COMPUTED_VALUE"""),61.25)</f>
        <v>61.25</v>
      </c>
      <c r="E8" s="15" t="str">
        <f t="shared" si="2"/>
        <v>Jun 2026: 
• CEOT: 48.92/68 (71.9%)
• MITA: 0/0 (0%)
• MP: 41.25/17 (242.6%)
• WMEPO: 23.92/34 (70.3%)
• TOTAL: 114.08/119 (95.9%)</v>
      </c>
      <c r="F8" s="56"/>
      <c r="G8" s="56">
        <v>46352.0</v>
      </c>
      <c r="I8" s="56">
        <v>46055.0</v>
      </c>
      <c r="J8" s="4" t="s">
        <v>545</v>
      </c>
      <c r="K8" s="4">
        <v>10.0</v>
      </c>
      <c r="M8" s="4">
        <v>5.0</v>
      </c>
      <c r="N8" s="4">
        <v>10.0</v>
      </c>
      <c r="P8" s="56">
        <v>46174.0</v>
      </c>
      <c r="Q8" s="4">
        <f t="shared" si="3"/>
        <v>21</v>
      </c>
      <c r="R8" s="4">
        <f t="shared" si="4"/>
        <v>168</v>
      </c>
      <c r="S8" s="4">
        <f t="shared" si="5"/>
        <v>68</v>
      </c>
      <c r="T8" s="4">
        <f t="shared" si="6"/>
        <v>0</v>
      </c>
      <c r="U8" s="4">
        <f t="shared" si="7"/>
        <v>17</v>
      </c>
      <c r="V8" s="4">
        <f t="shared" si="8"/>
        <v>34</v>
      </c>
      <c r="W8" s="57">
        <f t="shared" si="9"/>
        <v>119</v>
      </c>
      <c r="X8" s="58">
        <f t="shared" si="10"/>
        <v>0.7083333333</v>
      </c>
      <c r="Y8" s="4"/>
      <c r="Z8" s="59">
        <f t="shared" si="11"/>
        <v>48.91666667</v>
      </c>
      <c r="AA8" s="59">
        <f t="shared" si="12"/>
        <v>0</v>
      </c>
      <c r="AB8" s="59">
        <f t="shared" si="13"/>
        <v>41.25</v>
      </c>
      <c r="AC8" s="59">
        <f t="shared" si="14"/>
        <v>23.91666667</v>
      </c>
      <c r="AD8" s="59">
        <f t="shared" si="15"/>
        <v>114.0833333</v>
      </c>
      <c r="AE8" s="4"/>
      <c r="AF8" s="58">
        <f t="shared" ref="AF8:AJ8" si="29">iferror(Z8/S8,"")</f>
        <v>0.7193627451</v>
      </c>
      <c r="AG8" s="58" t="str">
        <f t="shared" si="29"/>
        <v/>
      </c>
      <c r="AH8" s="58">
        <f t="shared" si="29"/>
        <v>2.426470588</v>
      </c>
      <c r="AI8" s="58">
        <f t="shared" si="29"/>
        <v>0.7034313725</v>
      </c>
      <c r="AJ8" s="60">
        <f t="shared" si="29"/>
        <v>0.9586834734</v>
      </c>
      <c r="AL8" s="61">
        <v>46174.0</v>
      </c>
      <c r="AM8" s="60">
        <f t="shared" si="17"/>
        <v>0.7808333333</v>
      </c>
      <c r="AN8" s="60">
        <f t="shared" si="18"/>
        <v>0.5355769231</v>
      </c>
      <c r="AO8" s="60">
        <f t="shared" si="19"/>
        <v>2.613107822</v>
      </c>
      <c r="AP8" s="60">
        <f t="shared" si="20"/>
        <v>1.043715847</v>
      </c>
      <c r="AQ8" s="58">
        <f t="shared" ref="AQ8:AR8" si="30">AQ7</f>
        <v>0.95</v>
      </c>
      <c r="AR8" s="58">
        <f t="shared" si="30"/>
        <v>1.05</v>
      </c>
      <c r="AS8" s="58">
        <f t="shared" si="22"/>
        <v>1.016174212</v>
      </c>
      <c r="AT8" s="4"/>
      <c r="AW8" s="59"/>
      <c r="AY8" s="4"/>
      <c r="AZ8" s="4"/>
      <c r="BA8" s="4"/>
    </row>
    <row r="9" ht="15.75" customHeight="1">
      <c r="A9" s="15" t="str">
        <f>IFERROR(__xludf.DUMMYFUNCTION("""COMPUTED_VALUE"""),"CEOT")</f>
        <v>CEOT</v>
      </c>
      <c r="B9" s="45">
        <f>IFERROR(__xludf.DUMMYFUNCTION("""COMPUTED_VALUE"""),46082.0)</f>
        <v>46082</v>
      </c>
      <c r="C9" s="55">
        <f>IFERROR(__xludf.DUMMYFUNCTION("""COMPUTED_VALUE"""),43.583333333333336)</f>
        <v>43.58333333</v>
      </c>
      <c r="E9" s="15" t="str">
        <f t="shared" si="2"/>
        <v>Jul 2026: 
• CEOT: 81.5/92 (88.6%)
• MITA: 0/0 (0%)
• MP: 48.25/23 (209.8%)
• WMEPO: 45.25/46 (98.4%)
• TOTAL: 175/161 (108.7%)</v>
      </c>
      <c r="F9" s="56"/>
      <c r="G9" s="56">
        <v>46353.0</v>
      </c>
      <c r="I9" s="56">
        <v>46062.0</v>
      </c>
      <c r="J9" s="4" t="s">
        <v>545</v>
      </c>
      <c r="K9" s="4">
        <v>10.0</v>
      </c>
      <c r="L9" s="4">
        <v>20.0</v>
      </c>
      <c r="M9" s="4">
        <v>5.0</v>
      </c>
      <c r="N9" s="4">
        <v>10.0</v>
      </c>
      <c r="P9" s="56">
        <v>46204.0</v>
      </c>
      <c r="Q9" s="4">
        <f t="shared" si="3"/>
        <v>22</v>
      </c>
      <c r="R9" s="4">
        <f t="shared" si="4"/>
        <v>176</v>
      </c>
      <c r="S9" s="4">
        <f t="shared" si="5"/>
        <v>92</v>
      </c>
      <c r="T9" s="4">
        <f t="shared" si="6"/>
        <v>0</v>
      </c>
      <c r="U9" s="4">
        <f t="shared" si="7"/>
        <v>23</v>
      </c>
      <c r="V9" s="4">
        <f t="shared" si="8"/>
        <v>46</v>
      </c>
      <c r="W9" s="57">
        <f t="shared" si="9"/>
        <v>161</v>
      </c>
      <c r="X9" s="58">
        <f t="shared" si="10"/>
        <v>0.9147727273</v>
      </c>
      <c r="Y9" s="4"/>
      <c r="Z9" s="59">
        <f t="shared" si="11"/>
        <v>81.5</v>
      </c>
      <c r="AA9" s="59">
        <f t="shared" si="12"/>
        <v>0</v>
      </c>
      <c r="AB9" s="59">
        <f t="shared" si="13"/>
        <v>48.25</v>
      </c>
      <c r="AC9" s="59">
        <f t="shared" si="14"/>
        <v>45.25</v>
      </c>
      <c r="AD9" s="59">
        <f t="shared" si="15"/>
        <v>175</v>
      </c>
      <c r="AE9" s="4"/>
      <c r="AF9" s="58">
        <f t="shared" ref="AF9:AJ9" si="31">iferror(Z9/S9,"")</f>
        <v>0.8858695652</v>
      </c>
      <c r="AG9" s="58" t="str">
        <f t="shared" si="31"/>
        <v/>
      </c>
      <c r="AH9" s="58">
        <f t="shared" si="31"/>
        <v>2.097826087</v>
      </c>
      <c r="AI9" s="58">
        <f t="shared" si="31"/>
        <v>0.9836956522</v>
      </c>
      <c r="AJ9" s="60">
        <f t="shared" si="31"/>
        <v>1.086956522</v>
      </c>
      <c r="AL9" s="61">
        <v>46204.0</v>
      </c>
      <c r="AM9" s="60">
        <f t="shared" si="17"/>
        <v>0.8054846939</v>
      </c>
      <c r="AN9" s="60">
        <f t="shared" si="18"/>
        <v>0.5355769231</v>
      </c>
      <c r="AO9" s="60">
        <f t="shared" si="19"/>
        <v>2.52920354</v>
      </c>
      <c r="AP9" s="60">
        <f t="shared" si="20"/>
        <v>1.034195402</v>
      </c>
      <c r="AQ9" s="58">
        <f t="shared" ref="AQ9:AR9" si="32">AQ8</f>
        <v>0.95</v>
      </c>
      <c r="AR9" s="58">
        <f t="shared" si="32"/>
        <v>1.05</v>
      </c>
      <c r="AS9" s="58">
        <f t="shared" si="22"/>
        <v>1.026694361</v>
      </c>
      <c r="AT9" s="4"/>
      <c r="AW9" s="59"/>
      <c r="AY9" s="4"/>
      <c r="AZ9" s="4"/>
      <c r="BA9" s="4"/>
    </row>
    <row r="10" ht="15.75" customHeight="1">
      <c r="A10" s="15" t="str">
        <f>IFERROR(__xludf.DUMMYFUNCTION("""COMPUTED_VALUE"""),"MITA")</f>
        <v>MITA</v>
      </c>
      <c r="B10" s="45">
        <f>IFERROR(__xludf.DUMMYFUNCTION("""COMPUTED_VALUE"""),46082.0)</f>
        <v>46082</v>
      </c>
      <c r="C10" s="55">
        <f>IFERROR(__xludf.DUMMYFUNCTION("""COMPUTED_VALUE"""),40.0)</f>
        <v>40</v>
      </c>
      <c r="E10" s="15" t="str">
        <f t="shared" si="2"/>
        <v>Aug 2026: 
• CEOT: 0/0 (0%)
• MITA: 0/0 (0%)
• MP: 0/0 (0%)
• WMEPO: 0/0 (0%)
• TOTAL: 0/0 (0%)</v>
      </c>
      <c r="F10" s="56"/>
      <c r="G10" s="56">
        <v>46381.0</v>
      </c>
      <c r="I10" s="56">
        <v>46069.0</v>
      </c>
      <c r="J10" s="4" t="s">
        <v>545</v>
      </c>
      <c r="K10" s="4">
        <v>8.0</v>
      </c>
      <c r="L10" s="4">
        <v>20.0</v>
      </c>
      <c r="M10" s="4">
        <v>5.0</v>
      </c>
      <c r="N10" s="4">
        <v>10.0</v>
      </c>
      <c r="P10" s="56">
        <v>46235.0</v>
      </c>
      <c r="Q10" s="4">
        <f t="shared" si="3"/>
        <v>21</v>
      </c>
      <c r="R10" s="4">
        <f t="shared" si="4"/>
        <v>168</v>
      </c>
      <c r="S10" s="4" t="str">
        <f t="shared" si="5"/>
        <v/>
      </c>
      <c r="T10" s="4" t="str">
        <f t="shared" si="6"/>
        <v/>
      </c>
      <c r="U10" s="4" t="str">
        <f t="shared" si="7"/>
        <v/>
      </c>
      <c r="V10" s="4" t="str">
        <f t="shared" si="8"/>
        <v/>
      </c>
      <c r="W10" s="57" t="str">
        <f t="shared" si="9"/>
        <v/>
      </c>
      <c r="X10" s="58" t="str">
        <f t="shared" si="10"/>
        <v/>
      </c>
      <c r="Y10" s="4"/>
      <c r="Z10" s="59" t="str">
        <f t="shared" si="11"/>
        <v/>
      </c>
      <c r="AA10" s="59" t="str">
        <f t="shared" si="12"/>
        <v/>
      </c>
      <c r="AB10" s="59" t="str">
        <f t="shared" si="13"/>
        <v/>
      </c>
      <c r="AC10" s="59" t="str">
        <f t="shared" si="14"/>
        <v/>
      </c>
      <c r="AD10" s="4" t="str">
        <f t="shared" si="15"/>
        <v/>
      </c>
      <c r="AE10" s="4"/>
      <c r="AF10" s="58" t="str">
        <f t="shared" ref="AF10:AJ10" si="33">iferror(Z10/S10,"")</f>
        <v/>
      </c>
      <c r="AG10" s="58" t="str">
        <f t="shared" si="33"/>
        <v/>
      </c>
      <c r="AH10" s="58" t="str">
        <f t="shared" si="33"/>
        <v/>
      </c>
      <c r="AI10" s="58" t="str">
        <f t="shared" si="33"/>
        <v/>
      </c>
      <c r="AJ10" s="60" t="str">
        <f t="shared" si="33"/>
        <v/>
      </c>
      <c r="AL10" s="61">
        <v>46235.0</v>
      </c>
      <c r="AM10" s="60" t="str">
        <f t="shared" si="17"/>
        <v/>
      </c>
      <c r="AN10" s="60" t="str">
        <f t="shared" si="18"/>
        <v/>
      </c>
      <c r="AO10" s="60" t="str">
        <f t="shared" si="19"/>
        <v/>
      </c>
      <c r="AP10" s="60" t="str">
        <f t="shared" si="20"/>
        <v/>
      </c>
      <c r="AQ10" s="58">
        <f t="shared" ref="AQ10:AR10" si="34">AQ9</f>
        <v>0.95</v>
      </c>
      <c r="AR10" s="58">
        <f t="shared" si="34"/>
        <v>1.05</v>
      </c>
      <c r="AS10" s="58" t="str">
        <f t="shared" si="22"/>
        <v/>
      </c>
      <c r="AT10" s="4"/>
      <c r="AW10" s="59"/>
      <c r="AY10" s="4"/>
      <c r="AZ10" s="4"/>
      <c r="BA10" s="4"/>
    </row>
    <row r="11" ht="15.75" customHeight="1">
      <c r="A11" s="15" t="str">
        <f>IFERROR(__xludf.DUMMYFUNCTION("""COMPUTED_VALUE"""),"MP")</f>
        <v>MP</v>
      </c>
      <c r="B11" s="45">
        <f>IFERROR(__xludf.DUMMYFUNCTION("""COMPUTED_VALUE"""),46082.0)</f>
        <v>46082</v>
      </c>
      <c r="C11" s="55">
        <f>IFERROR(__xludf.DUMMYFUNCTION("""COMPUTED_VALUE"""),51.75)</f>
        <v>51.75</v>
      </c>
      <c r="E11" s="15" t="str">
        <f t="shared" si="2"/>
        <v>Sep 2026: 
• CEOT: 0/0 (0%)
• MITA: 0/0 (0%)
• MP: 0/0 (0%)
• WMEPO: 0/0 (0%)
• TOTAL: 0/0 (0%)</v>
      </c>
      <c r="I11" s="56">
        <v>46076.0</v>
      </c>
      <c r="J11" s="4" t="s">
        <v>545</v>
      </c>
      <c r="K11" s="4">
        <v>10.0</v>
      </c>
      <c r="L11" s="4">
        <v>20.0</v>
      </c>
      <c r="M11" s="4">
        <v>5.0</v>
      </c>
      <c r="N11" s="4">
        <v>10.0</v>
      </c>
      <c r="P11" s="56">
        <v>46266.0</v>
      </c>
      <c r="Q11" s="4">
        <f t="shared" si="3"/>
        <v>21</v>
      </c>
      <c r="R11" s="4">
        <f t="shared" si="4"/>
        <v>168</v>
      </c>
      <c r="S11" s="4" t="str">
        <f t="shared" si="5"/>
        <v/>
      </c>
      <c r="T11" s="4" t="str">
        <f t="shared" si="6"/>
        <v/>
      </c>
      <c r="U11" s="4" t="str">
        <f t="shared" si="7"/>
        <v/>
      </c>
      <c r="V11" s="4" t="str">
        <f t="shared" si="8"/>
        <v/>
      </c>
      <c r="W11" s="57" t="str">
        <f t="shared" si="9"/>
        <v/>
      </c>
      <c r="X11" s="58" t="str">
        <f t="shared" si="10"/>
        <v/>
      </c>
      <c r="Y11" s="4"/>
      <c r="Z11" s="59" t="str">
        <f t="shared" si="11"/>
        <v/>
      </c>
      <c r="AA11" s="59" t="str">
        <f t="shared" si="12"/>
        <v/>
      </c>
      <c r="AB11" s="59" t="str">
        <f t="shared" si="13"/>
        <v/>
      </c>
      <c r="AC11" s="59" t="str">
        <f t="shared" si="14"/>
        <v/>
      </c>
      <c r="AD11" s="4" t="str">
        <f t="shared" si="15"/>
        <v/>
      </c>
      <c r="AE11" s="4"/>
      <c r="AF11" s="58" t="str">
        <f t="shared" ref="AF11:AJ11" si="35">iferror(Z11/S11,"")</f>
        <v/>
      </c>
      <c r="AG11" s="58" t="str">
        <f t="shared" si="35"/>
        <v/>
      </c>
      <c r="AH11" s="58" t="str">
        <f t="shared" si="35"/>
        <v/>
      </c>
      <c r="AI11" s="58" t="str">
        <f t="shared" si="35"/>
        <v/>
      </c>
      <c r="AJ11" s="60" t="str">
        <f t="shared" si="35"/>
        <v/>
      </c>
      <c r="AL11" s="61">
        <v>46266.0</v>
      </c>
      <c r="AM11" s="60" t="str">
        <f t="shared" si="17"/>
        <v/>
      </c>
      <c r="AN11" s="60" t="str">
        <f t="shared" si="18"/>
        <v/>
      </c>
      <c r="AO11" s="60" t="str">
        <f t="shared" si="19"/>
        <v/>
      </c>
      <c r="AP11" s="60" t="str">
        <f t="shared" si="20"/>
        <v/>
      </c>
      <c r="AQ11" s="58">
        <f t="shared" ref="AQ11:AR11" si="36">AQ10</f>
        <v>0.95</v>
      </c>
      <c r="AR11" s="58">
        <f t="shared" si="36"/>
        <v>1.05</v>
      </c>
      <c r="AS11" s="58" t="str">
        <f t="shared" si="22"/>
        <v/>
      </c>
      <c r="AT11" s="4"/>
      <c r="AW11" s="59"/>
      <c r="AY11" s="4"/>
      <c r="AZ11" s="4"/>
      <c r="BA11" s="4"/>
    </row>
    <row r="12" ht="15.75" customHeight="1">
      <c r="A12" s="15" t="str">
        <f>IFERROR(__xludf.DUMMYFUNCTION("""COMPUTED_VALUE"""),"WMEPO")</f>
        <v>WMEPO</v>
      </c>
      <c r="B12" s="45">
        <f>IFERROR(__xludf.DUMMYFUNCTION("""COMPUTED_VALUE"""),46082.0)</f>
        <v>46082</v>
      </c>
      <c r="C12" s="55">
        <f>IFERROR(__xludf.DUMMYFUNCTION("""COMPUTED_VALUE"""),36.25)</f>
        <v>36.25</v>
      </c>
      <c r="E12" s="15" t="str">
        <f t="shared" si="2"/>
        <v>Oct 2026: 
• CEOT: 0/0 (0%)
• MITA: 0/0 (0%)
• MP: 0/0 (0%)
• WMEPO: 0/0 (0%)
• TOTAL: 0/0 (0%)</v>
      </c>
      <c r="I12" s="56">
        <v>46083.0</v>
      </c>
      <c r="J12" s="4" t="s">
        <v>545</v>
      </c>
      <c r="K12" s="4">
        <v>10.0</v>
      </c>
      <c r="L12" s="4">
        <v>20.0</v>
      </c>
      <c r="M12" s="4">
        <v>5.0</v>
      </c>
      <c r="N12" s="4">
        <v>10.0</v>
      </c>
      <c r="P12" s="56">
        <v>46296.0</v>
      </c>
      <c r="Q12" s="4">
        <f t="shared" si="3"/>
        <v>22</v>
      </c>
      <c r="R12" s="4">
        <f t="shared" si="4"/>
        <v>176</v>
      </c>
      <c r="S12" s="4" t="str">
        <f t="shared" si="5"/>
        <v/>
      </c>
      <c r="T12" s="4" t="str">
        <f t="shared" si="6"/>
        <v/>
      </c>
      <c r="U12" s="4" t="str">
        <f t="shared" si="7"/>
        <v/>
      </c>
      <c r="V12" s="4" t="str">
        <f t="shared" si="8"/>
        <v/>
      </c>
      <c r="W12" s="57" t="str">
        <f t="shared" si="9"/>
        <v/>
      </c>
      <c r="X12" s="58" t="str">
        <f t="shared" si="10"/>
        <v/>
      </c>
      <c r="Y12" s="4"/>
      <c r="Z12" s="59" t="str">
        <f t="shared" si="11"/>
        <v/>
      </c>
      <c r="AA12" s="59" t="str">
        <f t="shared" si="12"/>
        <v/>
      </c>
      <c r="AB12" s="59" t="str">
        <f t="shared" si="13"/>
        <v/>
      </c>
      <c r="AC12" s="59" t="str">
        <f t="shared" si="14"/>
        <v/>
      </c>
      <c r="AD12" s="4" t="str">
        <f t="shared" si="15"/>
        <v/>
      </c>
      <c r="AE12" s="4"/>
      <c r="AF12" s="58" t="str">
        <f t="shared" ref="AF12:AJ12" si="37">iferror(Z12/S12,"")</f>
        <v/>
      </c>
      <c r="AG12" s="58" t="str">
        <f t="shared" si="37"/>
        <v/>
      </c>
      <c r="AH12" s="58" t="str">
        <f t="shared" si="37"/>
        <v/>
      </c>
      <c r="AI12" s="58" t="str">
        <f t="shared" si="37"/>
        <v/>
      </c>
      <c r="AJ12" s="60" t="str">
        <f t="shared" si="37"/>
        <v/>
      </c>
      <c r="AL12" s="61">
        <v>46296.0</v>
      </c>
      <c r="AM12" s="60" t="str">
        <f t="shared" si="17"/>
        <v/>
      </c>
      <c r="AN12" s="60" t="str">
        <f t="shared" si="18"/>
        <v/>
      </c>
      <c r="AO12" s="60" t="str">
        <f t="shared" si="19"/>
        <v/>
      </c>
      <c r="AP12" s="60" t="str">
        <f t="shared" si="20"/>
        <v/>
      </c>
      <c r="AQ12" s="58">
        <f t="shared" ref="AQ12:AR12" si="38">AQ11</f>
        <v>0.95</v>
      </c>
      <c r="AR12" s="58">
        <f t="shared" si="38"/>
        <v>1.05</v>
      </c>
      <c r="AS12" s="58" t="str">
        <f t="shared" si="22"/>
        <v/>
      </c>
      <c r="AT12" s="4"/>
      <c r="AW12" s="59"/>
      <c r="AY12" s="4"/>
      <c r="AZ12" s="4"/>
      <c r="BA12" s="4"/>
    </row>
    <row r="13" ht="15.75" customHeight="1">
      <c r="A13" s="15" t="str">
        <f>IFERROR(__xludf.DUMMYFUNCTION("""COMPUTED_VALUE"""),"CEOT")</f>
        <v>CEOT</v>
      </c>
      <c r="B13" s="45">
        <f>IFERROR(__xludf.DUMMYFUNCTION("""COMPUTED_VALUE"""),46113.0)</f>
        <v>46113</v>
      </c>
      <c r="C13" s="55">
        <f>IFERROR(__xludf.DUMMYFUNCTION("""COMPUTED_VALUE"""),52.25)</f>
        <v>52.25</v>
      </c>
      <c r="E13" s="15" t="str">
        <f t="shared" si="2"/>
        <v>Nov 2026: 
• CEOT: 0/0 (0%)
• MITA: 0/0 (0%)
• MP: 0/0 (0%)
• WMEPO: 0/0 (0%)
• TOTAL: 0/0 (0%)</v>
      </c>
      <c r="I13" s="56">
        <v>46090.0</v>
      </c>
      <c r="J13" s="4" t="s">
        <v>545</v>
      </c>
      <c r="K13" s="4">
        <v>10.0</v>
      </c>
      <c r="L13" s="4">
        <v>20.0</v>
      </c>
      <c r="M13" s="4">
        <v>5.0</v>
      </c>
      <c r="N13" s="4">
        <v>10.0</v>
      </c>
      <c r="P13" s="56">
        <v>46327.0</v>
      </c>
      <c r="Q13" s="4">
        <f t="shared" si="3"/>
        <v>19</v>
      </c>
      <c r="R13" s="4">
        <f t="shared" si="4"/>
        <v>152</v>
      </c>
      <c r="S13" s="4" t="str">
        <f t="shared" si="5"/>
        <v/>
      </c>
      <c r="T13" s="4" t="str">
        <f t="shared" si="6"/>
        <v/>
      </c>
      <c r="U13" s="4" t="str">
        <f t="shared" si="7"/>
        <v/>
      </c>
      <c r="V13" s="4" t="str">
        <f t="shared" si="8"/>
        <v/>
      </c>
      <c r="W13" s="57" t="str">
        <f t="shared" si="9"/>
        <v/>
      </c>
      <c r="X13" s="58" t="str">
        <f t="shared" si="10"/>
        <v/>
      </c>
      <c r="Y13" s="4"/>
      <c r="Z13" s="59" t="str">
        <f t="shared" si="11"/>
        <v/>
      </c>
      <c r="AA13" s="59" t="str">
        <f t="shared" si="12"/>
        <v/>
      </c>
      <c r="AB13" s="59" t="str">
        <f t="shared" si="13"/>
        <v/>
      </c>
      <c r="AC13" s="59" t="str">
        <f t="shared" si="14"/>
        <v/>
      </c>
      <c r="AD13" s="4" t="str">
        <f t="shared" si="15"/>
        <v/>
      </c>
      <c r="AE13" s="4"/>
      <c r="AF13" s="58" t="str">
        <f t="shared" ref="AF13:AJ13" si="39">iferror(Z13/S13,"")</f>
        <v/>
      </c>
      <c r="AG13" s="58" t="str">
        <f t="shared" si="39"/>
        <v/>
      </c>
      <c r="AH13" s="58" t="str">
        <f t="shared" si="39"/>
        <v/>
      </c>
      <c r="AI13" s="58" t="str">
        <f t="shared" si="39"/>
        <v/>
      </c>
      <c r="AJ13" s="60" t="str">
        <f t="shared" si="39"/>
        <v/>
      </c>
      <c r="AL13" s="61">
        <v>46327.0</v>
      </c>
      <c r="AM13" s="60" t="str">
        <f t="shared" si="17"/>
        <v/>
      </c>
      <c r="AN13" s="60" t="str">
        <f t="shared" si="18"/>
        <v/>
      </c>
      <c r="AO13" s="60" t="str">
        <f t="shared" si="19"/>
        <v/>
      </c>
      <c r="AP13" s="60" t="str">
        <f t="shared" si="20"/>
        <v/>
      </c>
      <c r="AQ13" s="58">
        <f t="shared" ref="AQ13:AR13" si="40">AQ12</f>
        <v>0.95</v>
      </c>
      <c r="AR13" s="58">
        <f t="shared" si="40"/>
        <v>1.05</v>
      </c>
      <c r="AS13" s="58" t="str">
        <f t="shared" si="22"/>
        <v/>
      </c>
      <c r="AT13" s="4"/>
      <c r="AW13" s="59"/>
      <c r="AY13" s="4"/>
      <c r="AZ13" s="4"/>
      <c r="BA13" s="4"/>
    </row>
    <row r="14" ht="15.75" customHeight="1">
      <c r="A14" s="15" t="str">
        <f>IFERROR(__xludf.DUMMYFUNCTION("""COMPUTED_VALUE"""),"MITA")</f>
        <v>MITA</v>
      </c>
      <c r="B14" s="45">
        <f>IFERROR(__xludf.DUMMYFUNCTION("""COMPUTED_VALUE"""),46113.0)</f>
        <v>46113</v>
      </c>
      <c r="C14" s="55">
        <f>IFERROR(__xludf.DUMMYFUNCTION("""COMPUTED_VALUE"""),67.5)</f>
        <v>67.5</v>
      </c>
      <c r="E14" s="15" t="str">
        <f t="shared" si="2"/>
        <v>Dec 2026: 
• CEOT: 0/0 (0%)
• MITA: 0/0 (0%)
• MP: 0/0 (0%)
• WMEPO: 0/0 (0%)
• TOTAL: 0/0 (0%)</v>
      </c>
      <c r="I14" s="56">
        <v>46097.0</v>
      </c>
      <c r="J14" s="4" t="s">
        <v>545</v>
      </c>
      <c r="K14" s="4">
        <v>10.0</v>
      </c>
      <c r="L14" s="4">
        <v>20.0</v>
      </c>
      <c r="M14" s="4">
        <v>5.0</v>
      </c>
      <c r="N14" s="4">
        <v>10.0</v>
      </c>
      <c r="P14" s="56">
        <v>46357.0</v>
      </c>
      <c r="Q14" s="4">
        <f t="shared" si="3"/>
        <v>22</v>
      </c>
      <c r="R14" s="4">
        <f t="shared" si="4"/>
        <v>176</v>
      </c>
      <c r="S14" s="4" t="str">
        <f t="shared" si="5"/>
        <v/>
      </c>
      <c r="T14" s="4" t="str">
        <f t="shared" si="6"/>
        <v/>
      </c>
      <c r="U14" s="4" t="str">
        <f t="shared" si="7"/>
        <v/>
      </c>
      <c r="V14" s="4" t="str">
        <f t="shared" si="8"/>
        <v/>
      </c>
      <c r="W14" s="57" t="str">
        <f t="shared" si="9"/>
        <v/>
      </c>
      <c r="X14" s="58" t="str">
        <f t="shared" si="10"/>
        <v/>
      </c>
      <c r="Y14" s="4"/>
      <c r="Z14" s="59" t="str">
        <f t="shared" si="11"/>
        <v/>
      </c>
      <c r="AA14" s="59" t="str">
        <f t="shared" si="12"/>
        <v/>
      </c>
      <c r="AB14" s="59" t="str">
        <f t="shared" si="13"/>
        <v/>
      </c>
      <c r="AC14" s="59" t="str">
        <f t="shared" si="14"/>
        <v/>
      </c>
      <c r="AD14" s="4" t="str">
        <f t="shared" si="15"/>
        <v/>
      </c>
      <c r="AE14" s="4"/>
      <c r="AF14" s="58" t="str">
        <f t="shared" ref="AF14:AJ14" si="41">iferror(Z14/S14,"")</f>
        <v/>
      </c>
      <c r="AG14" s="58" t="str">
        <f t="shared" si="41"/>
        <v/>
      </c>
      <c r="AH14" s="58" t="str">
        <f t="shared" si="41"/>
        <v/>
      </c>
      <c r="AI14" s="58" t="str">
        <f t="shared" si="41"/>
        <v/>
      </c>
      <c r="AJ14" s="60" t="str">
        <f t="shared" si="41"/>
        <v/>
      </c>
      <c r="AL14" s="61">
        <v>46357.0</v>
      </c>
      <c r="AM14" s="60" t="str">
        <f t="shared" si="17"/>
        <v/>
      </c>
      <c r="AN14" s="60" t="str">
        <f t="shared" si="18"/>
        <v/>
      </c>
      <c r="AO14" s="60" t="str">
        <f t="shared" si="19"/>
        <v/>
      </c>
      <c r="AP14" s="60" t="str">
        <f t="shared" si="20"/>
        <v/>
      </c>
      <c r="AQ14" s="58">
        <f t="shared" ref="AQ14:AR14" si="42">AQ13</f>
        <v>0.95</v>
      </c>
      <c r="AR14" s="58">
        <f t="shared" si="42"/>
        <v>1.05</v>
      </c>
      <c r="AS14" s="58" t="str">
        <f t="shared" si="22"/>
        <v/>
      </c>
      <c r="AT14" s="4"/>
      <c r="AW14" s="59"/>
    </row>
    <row r="15" ht="15.75" customHeight="1">
      <c r="A15" s="15" t="str">
        <f>IFERROR(__xludf.DUMMYFUNCTION("""COMPUTED_VALUE"""),"MP")</f>
        <v>MP</v>
      </c>
      <c r="B15" s="45">
        <f>IFERROR(__xludf.DUMMYFUNCTION("""COMPUTED_VALUE"""),46113.0)</f>
        <v>46113</v>
      </c>
      <c r="C15" s="55">
        <f>IFERROR(__xludf.DUMMYFUNCTION("""COMPUTED_VALUE"""),27.75)</f>
        <v>27.75</v>
      </c>
      <c r="I15" s="56">
        <v>46104.0</v>
      </c>
      <c r="J15" s="4" t="s">
        <v>545</v>
      </c>
      <c r="K15" s="4">
        <v>10.0</v>
      </c>
      <c r="L15" s="4">
        <v>20.0</v>
      </c>
      <c r="M15" s="4">
        <v>5.0</v>
      </c>
      <c r="N15" s="4">
        <v>10.0</v>
      </c>
      <c r="P15" s="56"/>
    </row>
    <row r="16" ht="15.75" customHeight="1">
      <c r="A16" s="15" t="str">
        <f>IFERROR(__xludf.DUMMYFUNCTION("""COMPUTED_VALUE"""),"WMEPO")</f>
        <v>WMEPO</v>
      </c>
      <c r="B16" s="45">
        <f>IFERROR(__xludf.DUMMYFUNCTION("""COMPUTED_VALUE"""),46113.0)</f>
        <v>46113</v>
      </c>
      <c r="C16" s="55">
        <f>IFERROR(__xludf.DUMMYFUNCTION("""COMPUTED_VALUE"""),30.5)</f>
        <v>30.5</v>
      </c>
      <c r="I16" s="56">
        <v>46111.0</v>
      </c>
      <c r="J16" s="4" t="s">
        <v>459</v>
      </c>
      <c r="K16" s="15">
        <f t="shared" ref="K16:N16" si="43">K15/5*2</f>
        <v>4</v>
      </c>
      <c r="L16" s="15">
        <f t="shared" si="43"/>
        <v>8</v>
      </c>
      <c r="M16" s="15">
        <f t="shared" si="43"/>
        <v>2</v>
      </c>
      <c r="N16" s="15">
        <f t="shared" si="43"/>
        <v>4</v>
      </c>
      <c r="P16" s="56"/>
    </row>
    <row r="17" ht="15.75" customHeight="1">
      <c r="A17" s="15" t="str">
        <f>IFERROR(__xludf.DUMMYFUNCTION("""COMPUTED_VALUE"""),"CEOT")</f>
        <v>CEOT</v>
      </c>
      <c r="B17" s="45">
        <f>IFERROR(__xludf.DUMMYFUNCTION("""COMPUTED_VALUE"""),46143.0)</f>
        <v>46143</v>
      </c>
      <c r="C17" s="55">
        <f>IFERROR(__xludf.DUMMYFUNCTION("""COMPUTED_VALUE"""),42.25)</f>
        <v>42.25</v>
      </c>
      <c r="I17" s="56">
        <v>46113.0</v>
      </c>
      <c r="J17" s="4" t="s">
        <v>821</v>
      </c>
      <c r="K17" s="15">
        <f t="shared" ref="K17:N17" si="44">K15/5*3</f>
        <v>6</v>
      </c>
      <c r="L17" s="15">
        <f t="shared" si="44"/>
        <v>12</v>
      </c>
      <c r="M17" s="15">
        <f t="shared" si="44"/>
        <v>3</v>
      </c>
      <c r="N17" s="15">
        <f t="shared" si="44"/>
        <v>6</v>
      </c>
    </row>
    <row r="18" ht="15.75" customHeight="1">
      <c r="A18" s="15" t="str">
        <f>IFERROR(__xludf.DUMMYFUNCTION("""COMPUTED_VALUE"""),"MITA")</f>
        <v>MITA</v>
      </c>
      <c r="B18" s="45">
        <f>IFERROR(__xludf.DUMMYFUNCTION("""COMPUTED_VALUE"""),46143.0)</f>
        <v>46143</v>
      </c>
      <c r="C18" s="55">
        <f>IFERROR(__xludf.DUMMYFUNCTION("""COMPUTED_VALUE"""),7.5)</f>
        <v>7.5</v>
      </c>
      <c r="I18" s="56">
        <v>46118.0</v>
      </c>
      <c r="J18" s="4" t="s">
        <v>545</v>
      </c>
      <c r="K18" s="4">
        <v>10.0</v>
      </c>
      <c r="L18" s="4">
        <v>20.0</v>
      </c>
      <c r="M18" s="4">
        <v>5.0</v>
      </c>
      <c r="N18" s="4">
        <v>10.0</v>
      </c>
    </row>
    <row r="19" ht="15.75" customHeight="1">
      <c r="A19" s="15" t="str">
        <f>IFERROR(__xludf.DUMMYFUNCTION("""COMPUTED_VALUE"""),"MP")</f>
        <v>MP</v>
      </c>
      <c r="B19" s="45">
        <f>IFERROR(__xludf.DUMMYFUNCTION("""COMPUTED_VALUE"""),46143.0)</f>
        <v>46143</v>
      </c>
      <c r="C19" s="55">
        <f>IFERROR(__xludf.DUMMYFUNCTION("""COMPUTED_VALUE"""),54.25)</f>
        <v>54.25</v>
      </c>
      <c r="I19" s="56">
        <v>46125.0</v>
      </c>
      <c r="J19" s="4" t="s">
        <v>545</v>
      </c>
      <c r="K19" s="4">
        <v>10.0</v>
      </c>
      <c r="L19" s="4">
        <v>20.0</v>
      </c>
      <c r="M19" s="4">
        <v>5.0</v>
      </c>
      <c r="N19" s="4">
        <v>10.0</v>
      </c>
      <c r="AY19" s="46"/>
      <c r="AZ19" s="56"/>
      <c r="BA19" s="46"/>
    </row>
    <row r="20" ht="15.75" customHeight="1">
      <c r="A20" s="15" t="str">
        <f>IFERROR(__xludf.DUMMYFUNCTION("""COMPUTED_VALUE"""),"WMEPO")</f>
        <v>WMEPO</v>
      </c>
      <c r="B20" s="45">
        <f>IFERROR(__xludf.DUMMYFUNCTION("""COMPUTED_VALUE"""),46143.0)</f>
        <v>46143</v>
      </c>
      <c r="C20" s="55">
        <f>IFERROR(__xludf.DUMMYFUNCTION("""COMPUTED_VALUE"""),38.0)</f>
        <v>38</v>
      </c>
      <c r="I20" s="56">
        <v>46132.0</v>
      </c>
      <c r="J20" s="4" t="s">
        <v>545</v>
      </c>
      <c r="K20" s="4">
        <v>10.0</v>
      </c>
      <c r="L20" s="4">
        <v>20.0</v>
      </c>
      <c r="M20" s="4">
        <v>5.0</v>
      </c>
      <c r="N20" s="4">
        <v>10.0</v>
      </c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</row>
    <row r="21" ht="15.75" customHeight="1">
      <c r="A21" s="15" t="str">
        <f>IFERROR(__xludf.DUMMYFUNCTION("""COMPUTED_VALUE"""),"CEOT")</f>
        <v>CEOT</v>
      </c>
      <c r="B21" s="45">
        <f>IFERROR(__xludf.DUMMYFUNCTION("""COMPUTED_VALUE"""),46174.0)</f>
        <v>46174</v>
      </c>
      <c r="C21" s="55">
        <f>IFERROR(__xludf.DUMMYFUNCTION("""COMPUTED_VALUE"""),48.916666666666664)</f>
        <v>48.91666667</v>
      </c>
      <c r="I21" s="56">
        <v>46139.0</v>
      </c>
      <c r="J21" s="4" t="s">
        <v>847</v>
      </c>
      <c r="K21" s="15">
        <f t="shared" ref="K21:N21" si="45">K20/5*4</f>
        <v>8</v>
      </c>
      <c r="L21" s="15">
        <f t="shared" si="45"/>
        <v>16</v>
      </c>
      <c r="M21" s="15">
        <f t="shared" si="45"/>
        <v>4</v>
      </c>
      <c r="N21" s="15">
        <f t="shared" si="45"/>
        <v>8</v>
      </c>
    </row>
    <row r="22" ht="15.75" customHeight="1">
      <c r="A22" s="15" t="str">
        <f>IFERROR(__xludf.DUMMYFUNCTION("""COMPUTED_VALUE"""),"MP")</f>
        <v>MP</v>
      </c>
      <c r="B22" s="45">
        <f>IFERROR(__xludf.DUMMYFUNCTION("""COMPUTED_VALUE"""),46174.0)</f>
        <v>46174</v>
      </c>
      <c r="C22" s="55">
        <f>IFERROR(__xludf.DUMMYFUNCTION("""COMPUTED_VALUE"""),41.25)</f>
        <v>41.25</v>
      </c>
      <c r="I22" s="56">
        <v>46143.0</v>
      </c>
      <c r="J22" s="4" t="s">
        <v>855</v>
      </c>
      <c r="K22" s="15">
        <f t="shared" ref="K22:N22" si="46">K20/5*1</f>
        <v>2</v>
      </c>
      <c r="L22" s="15">
        <f t="shared" si="46"/>
        <v>4</v>
      </c>
      <c r="M22" s="15">
        <f t="shared" si="46"/>
        <v>1</v>
      </c>
      <c r="N22" s="15">
        <f t="shared" si="46"/>
        <v>2</v>
      </c>
    </row>
    <row r="23" ht="15.75" customHeight="1">
      <c r="A23" s="15" t="str">
        <f>IFERROR(__xludf.DUMMYFUNCTION("""COMPUTED_VALUE"""),"WMEPO")</f>
        <v>WMEPO</v>
      </c>
      <c r="B23" s="45">
        <f>IFERROR(__xludf.DUMMYFUNCTION("""COMPUTED_VALUE"""),46174.0)</f>
        <v>46174</v>
      </c>
      <c r="C23" s="55">
        <f>IFERROR(__xludf.DUMMYFUNCTION("""COMPUTED_VALUE"""),23.916666666666668)</f>
        <v>23.91666667</v>
      </c>
      <c r="I23" s="56">
        <v>46146.0</v>
      </c>
      <c r="J23" s="4" t="s">
        <v>545</v>
      </c>
      <c r="K23" s="4">
        <v>10.0</v>
      </c>
      <c r="L23" s="4">
        <v>20.0</v>
      </c>
      <c r="M23" s="4">
        <v>5.0</v>
      </c>
      <c r="N23" s="4">
        <v>10.0</v>
      </c>
    </row>
    <row r="24" ht="15.75" customHeight="1">
      <c r="A24" s="15" t="str">
        <f>IFERROR(__xludf.DUMMYFUNCTION("""COMPUTED_VALUE"""),"CEOT")</f>
        <v>CEOT</v>
      </c>
      <c r="B24" s="45">
        <f>IFERROR(__xludf.DUMMYFUNCTION("""COMPUTED_VALUE"""),46204.0)</f>
        <v>46204</v>
      </c>
      <c r="C24" s="55">
        <f>IFERROR(__xludf.DUMMYFUNCTION("""COMPUTED_VALUE"""),81.5)</f>
        <v>81.5</v>
      </c>
      <c r="I24" s="56">
        <v>46153.0</v>
      </c>
      <c r="J24" s="4" t="s">
        <v>545</v>
      </c>
      <c r="K24" s="4">
        <v>20.0</v>
      </c>
      <c r="M24" s="4">
        <v>5.0</v>
      </c>
      <c r="N24" s="4">
        <v>10.0</v>
      </c>
    </row>
    <row r="25" ht="15.75" customHeight="1">
      <c r="A25" s="15" t="str">
        <f>IFERROR(__xludf.DUMMYFUNCTION("""COMPUTED_VALUE"""),"MP")</f>
        <v>MP</v>
      </c>
      <c r="B25" s="45">
        <f>IFERROR(__xludf.DUMMYFUNCTION("""COMPUTED_VALUE"""),46204.0)</f>
        <v>46204</v>
      </c>
      <c r="C25" s="55">
        <f>IFERROR(__xludf.DUMMYFUNCTION("""COMPUTED_VALUE"""),48.25)</f>
        <v>48.25</v>
      </c>
      <c r="I25" s="56">
        <v>46160.0</v>
      </c>
      <c r="J25" s="4" t="s">
        <v>545</v>
      </c>
      <c r="K25" s="4">
        <v>20.0</v>
      </c>
      <c r="M25" s="4">
        <v>5.0</v>
      </c>
      <c r="N25" s="4">
        <v>10.0</v>
      </c>
    </row>
    <row r="26" ht="15.75" customHeight="1">
      <c r="A26" s="15" t="str">
        <f>IFERROR(__xludf.DUMMYFUNCTION("""COMPUTED_VALUE"""),"WMEPO")</f>
        <v>WMEPO</v>
      </c>
      <c r="B26" s="45">
        <f>IFERROR(__xludf.DUMMYFUNCTION("""COMPUTED_VALUE"""),46204.0)</f>
        <v>46204</v>
      </c>
      <c r="C26" s="55">
        <f>IFERROR(__xludf.DUMMYFUNCTION("""COMPUTED_VALUE"""),45.25)</f>
        <v>45.25</v>
      </c>
      <c r="I26" s="56">
        <v>46167.0</v>
      </c>
      <c r="J26" s="4" t="s">
        <v>545</v>
      </c>
      <c r="K26" s="4">
        <v>16.0</v>
      </c>
      <c r="M26" s="4">
        <v>4.0</v>
      </c>
      <c r="N26" s="4">
        <v>8.0</v>
      </c>
    </row>
    <row r="27" ht="15.75" customHeight="1">
      <c r="A27" s="15" t="str">
        <f>IFERROR(__xludf.DUMMYFUNCTION("""COMPUTED_VALUE"""),"CEOT")</f>
        <v>CEOT</v>
      </c>
      <c r="B27" s="45">
        <f>IFERROR(__xludf.DUMMYFUNCTION("""COMPUTED_VALUE"""),46235.0)</f>
        <v>46235</v>
      </c>
      <c r="C27" s="55">
        <f>IFERROR(__xludf.DUMMYFUNCTION("""COMPUTED_VALUE"""),16.75)</f>
        <v>16.75</v>
      </c>
      <c r="I27" s="56">
        <v>46174.0</v>
      </c>
      <c r="J27" s="4" t="s">
        <v>545</v>
      </c>
      <c r="K27" s="4">
        <v>20.0</v>
      </c>
      <c r="M27" s="4">
        <v>5.0</v>
      </c>
      <c r="N27" s="4">
        <v>10.0</v>
      </c>
    </row>
    <row r="28" ht="15.75" customHeight="1">
      <c r="A28" s="15" t="str">
        <f>IFERROR(__xludf.DUMMYFUNCTION("""COMPUTED_VALUE"""),"MP")</f>
        <v>MP</v>
      </c>
      <c r="B28" s="45">
        <f>IFERROR(__xludf.DUMMYFUNCTION("""COMPUTED_VALUE"""),46235.0)</f>
        <v>46235</v>
      </c>
      <c r="C28" s="55">
        <f>IFERROR(__xludf.DUMMYFUNCTION("""COMPUTED_VALUE"""),7.0)</f>
        <v>7</v>
      </c>
      <c r="I28" s="56">
        <v>46181.0</v>
      </c>
      <c r="J28" s="4" t="s">
        <v>545</v>
      </c>
      <c r="K28" s="4">
        <v>20.0</v>
      </c>
      <c r="M28" s="4">
        <v>5.0</v>
      </c>
      <c r="N28" s="4">
        <v>10.0</v>
      </c>
    </row>
    <row r="29" ht="15.75" customHeight="1">
      <c r="A29" s="15" t="str">
        <f>IFERROR(__xludf.DUMMYFUNCTION("""COMPUTED_VALUE"""),"WMEPO")</f>
        <v>WMEPO</v>
      </c>
      <c r="B29" s="45">
        <f>IFERROR(__xludf.DUMMYFUNCTION("""COMPUTED_VALUE"""),46235.0)</f>
        <v>46235</v>
      </c>
      <c r="C29" s="55">
        <f>IFERROR(__xludf.DUMMYFUNCTION("""COMPUTED_VALUE"""),11.25)</f>
        <v>11.25</v>
      </c>
      <c r="I29" s="56">
        <v>46188.0</v>
      </c>
      <c r="J29" s="4" t="s">
        <v>545</v>
      </c>
      <c r="P29" s="46"/>
    </row>
    <row r="30" ht="15.75" customHeight="1">
      <c r="C30" s="55"/>
      <c r="I30" s="56">
        <v>46195.0</v>
      </c>
      <c r="J30" s="4" t="s">
        <v>545</v>
      </c>
      <c r="K30" s="4">
        <v>20.0</v>
      </c>
      <c r="M30" s="4">
        <v>5.0</v>
      </c>
      <c r="N30" s="4">
        <v>10.0</v>
      </c>
      <c r="P30" s="46"/>
    </row>
    <row r="31" ht="15.75" customHeight="1">
      <c r="C31" s="55"/>
      <c r="I31" s="56">
        <v>46202.0</v>
      </c>
      <c r="J31" s="4" t="s">
        <v>459</v>
      </c>
      <c r="K31" s="15">
        <f>K30/5*2</f>
        <v>8</v>
      </c>
      <c r="M31" s="15">
        <f t="shared" ref="M31:N31" si="47">M30/5*2</f>
        <v>2</v>
      </c>
      <c r="N31" s="15">
        <f t="shared" si="47"/>
        <v>4</v>
      </c>
      <c r="P31" s="46"/>
    </row>
    <row r="32" ht="15.75" customHeight="1">
      <c r="C32" s="55"/>
      <c r="I32" s="56">
        <v>46204.0</v>
      </c>
      <c r="J32" s="4" t="s">
        <v>821</v>
      </c>
      <c r="K32" s="15">
        <f>K30/5*3</f>
        <v>12</v>
      </c>
      <c r="M32" s="15">
        <f t="shared" ref="M32:N32" si="48">M30/5*3</f>
        <v>3</v>
      </c>
      <c r="N32" s="15">
        <f t="shared" si="48"/>
        <v>6</v>
      </c>
      <c r="P32" s="46"/>
    </row>
    <row r="33" ht="15.75" customHeight="1">
      <c r="C33" s="55"/>
      <c r="I33" s="56">
        <v>46209.0</v>
      </c>
      <c r="J33" s="4" t="s">
        <v>545</v>
      </c>
      <c r="K33" s="4">
        <v>20.0</v>
      </c>
      <c r="M33" s="4">
        <v>5.0</v>
      </c>
      <c r="N33" s="4">
        <v>10.0</v>
      </c>
      <c r="P33" s="46"/>
    </row>
    <row r="34" ht="15.75" customHeight="1">
      <c r="C34" s="55"/>
      <c r="I34" s="56">
        <v>46216.0</v>
      </c>
      <c r="J34" s="4" t="s">
        <v>545</v>
      </c>
      <c r="K34" s="4">
        <v>20.0</v>
      </c>
      <c r="M34" s="4">
        <v>5.0</v>
      </c>
      <c r="N34" s="4">
        <v>10.0</v>
      </c>
      <c r="P34" s="46"/>
    </row>
    <row r="35" ht="15.75" customHeight="1">
      <c r="C35" s="55"/>
      <c r="I35" s="56">
        <v>46223.0</v>
      </c>
      <c r="J35" s="4" t="s">
        <v>545</v>
      </c>
      <c r="K35" s="4">
        <v>20.0</v>
      </c>
      <c r="M35" s="4">
        <v>5.0</v>
      </c>
      <c r="N35" s="4">
        <v>10.0</v>
      </c>
      <c r="P35" s="46"/>
    </row>
    <row r="36" ht="15.75" customHeight="1">
      <c r="C36" s="55"/>
      <c r="I36" s="56">
        <v>46230.0</v>
      </c>
      <c r="J36" s="4" t="s">
        <v>545</v>
      </c>
      <c r="K36" s="4">
        <v>20.0</v>
      </c>
      <c r="M36" s="4">
        <v>5.0</v>
      </c>
      <c r="N36" s="4">
        <v>10.0</v>
      </c>
      <c r="P36" s="46"/>
    </row>
    <row r="37" ht="15.75" customHeight="1">
      <c r="C37" s="55"/>
      <c r="I37" s="56">
        <v>46237.0</v>
      </c>
      <c r="J37" s="4" t="s">
        <v>545</v>
      </c>
      <c r="K37" s="4">
        <v>20.0</v>
      </c>
      <c r="M37" s="4">
        <v>5.0</v>
      </c>
      <c r="N37" s="4">
        <v>10.0</v>
      </c>
      <c r="P37" s="46"/>
    </row>
    <row r="38" ht="15.75" customHeight="1">
      <c r="C38" s="55"/>
      <c r="I38" s="56">
        <v>46244.0</v>
      </c>
      <c r="J38" s="4" t="s">
        <v>545</v>
      </c>
      <c r="K38" s="4">
        <v>20.0</v>
      </c>
      <c r="M38" s="4">
        <v>5.0</v>
      </c>
      <c r="N38" s="4">
        <v>10.0</v>
      </c>
      <c r="P38" s="46"/>
    </row>
    <row r="39" ht="15.75" customHeight="1">
      <c r="C39" s="55"/>
      <c r="I39" s="56">
        <v>46251.0</v>
      </c>
      <c r="J39" s="4" t="s">
        <v>545</v>
      </c>
      <c r="K39" s="4">
        <v>20.0</v>
      </c>
      <c r="M39" s="4">
        <v>5.0</v>
      </c>
      <c r="N39" s="4">
        <v>10.0</v>
      </c>
      <c r="P39" s="46"/>
    </row>
    <row r="40" ht="15.75" customHeight="1">
      <c r="C40" s="55"/>
      <c r="I40" s="56">
        <v>46258.0</v>
      </c>
      <c r="J40" s="4" t="s">
        <v>545</v>
      </c>
      <c r="K40" s="4">
        <v>20.0</v>
      </c>
      <c r="M40" s="4">
        <v>5.0</v>
      </c>
      <c r="N40" s="4">
        <v>10.0</v>
      </c>
      <c r="P40" s="46"/>
    </row>
    <row r="41" ht="15.75" customHeight="1">
      <c r="C41" s="55"/>
      <c r="I41" s="56">
        <v>46265.0</v>
      </c>
      <c r="J41" s="4" t="s">
        <v>855</v>
      </c>
      <c r="K41" s="15">
        <f t="shared" ref="K41:N41" si="49">K40/5*1</f>
        <v>4</v>
      </c>
      <c r="L41" s="15">
        <f t="shared" si="49"/>
        <v>0</v>
      </c>
      <c r="M41" s="15">
        <f t="shared" si="49"/>
        <v>1</v>
      </c>
      <c r="N41" s="15">
        <f t="shared" si="49"/>
        <v>2</v>
      </c>
      <c r="P41" s="46"/>
    </row>
    <row r="42" ht="15.75" customHeight="1">
      <c r="C42" s="55"/>
      <c r="I42" s="56">
        <v>46266.0</v>
      </c>
      <c r="J42" s="4" t="s">
        <v>847</v>
      </c>
      <c r="K42" s="15">
        <f t="shared" ref="K42:N42" si="50">K40/5*4</f>
        <v>16</v>
      </c>
      <c r="L42" s="15">
        <f t="shared" si="50"/>
        <v>0</v>
      </c>
      <c r="M42" s="15">
        <f t="shared" si="50"/>
        <v>4</v>
      </c>
      <c r="N42" s="15">
        <f t="shared" si="50"/>
        <v>8</v>
      </c>
      <c r="P42" s="46"/>
    </row>
    <row r="43" ht="15.75" customHeight="1">
      <c r="C43" s="55"/>
      <c r="I43" s="56">
        <v>46272.0</v>
      </c>
      <c r="J43" s="4" t="s">
        <v>545</v>
      </c>
      <c r="K43" s="4">
        <v>20.0</v>
      </c>
      <c r="M43" s="4">
        <v>5.0</v>
      </c>
      <c r="N43" s="4">
        <v>10.0</v>
      </c>
      <c r="P43" s="46"/>
    </row>
    <row r="44" ht="15.75" customHeight="1">
      <c r="C44" s="55"/>
      <c r="I44" s="56">
        <v>46279.0</v>
      </c>
      <c r="J44" s="4" t="s">
        <v>545</v>
      </c>
      <c r="K44" s="4">
        <v>20.0</v>
      </c>
      <c r="M44" s="4">
        <v>5.0</v>
      </c>
      <c r="N44" s="4">
        <v>10.0</v>
      </c>
      <c r="P44" s="46"/>
    </row>
    <row r="45" ht="15.75" customHeight="1">
      <c r="C45" s="55"/>
      <c r="I45" s="56">
        <v>46286.0</v>
      </c>
      <c r="J45" s="4" t="s">
        <v>545</v>
      </c>
      <c r="K45" s="4">
        <v>20.0</v>
      </c>
      <c r="M45" s="4">
        <v>5.0</v>
      </c>
      <c r="N45" s="4">
        <v>10.0</v>
      </c>
      <c r="P45" s="46"/>
    </row>
    <row r="46" ht="15.75" customHeight="1">
      <c r="C46" s="55"/>
      <c r="I46" s="56">
        <v>46293.0</v>
      </c>
      <c r="J46" s="4" t="s">
        <v>821</v>
      </c>
      <c r="K46" s="15">
        <f t="shared" ref="K46:N46" si="51">K45/5*3</f>
        <v>12</v>
      </c>
      <c r="L46" s="15">
        <f t="shared" si="51"/>
        <v>0</v>
      </c>
      <c r="M46" s="15">
        <f t="shared" si="51"/>
        <v>3</v>
      </c>
      <c r="N46" s="15">
        <f t="shared" si="51"/>
        <v>6</v>
      </c>
      <c r="P46" s="46"/>
    </row>
    <row r="47" ht="15.75" customHeight="1">
      <c r="C47" s="55"/>
      <c r="I47" s="56">
        <v>46296.0</v>
      </c>
      <c r="J47" s="4" t="s">
        <v>459</v>
      </c>
      <c r="K47" s="15">
        <f t="shared" ref="K47:N47" si="52">K45/5*2</f>
        <v>8</v>
      </c>
      <c r="L47" s="15">
        <f t="shared" si="52"/>
        <v>0</v>
      </c>
      <c r="M47" s="15">
        <f t="shared" si="52"/>
        <v>2</v>
      </c>
      <c r="N47" s="15">
        <f t="shared" si="52"/>
        <v>4</v>
      </c>
      <c r="P47" s="46"/>
    </row>
    <row r="48" ht="15.75" customHeight="1">
      <c r="C48" s="55"/>
      <c r="I48" s="56">
        <v>46300.0</v>
      </c>
      <c r="J48" s="4" t="s">
        <v>545</v>
      </c>
      <c r="K48" s="4">
        <v>20.0</v>
      </c>
      <c r="M48" s="4">
        <v>5.0</v>
      </c>
      <c r="N48" s="4">
        <v>10.0</v>
      </c>
      <c r="P48" s="46"/>
    </row>
    <row r="49" ht="15.75" customHeight="1">
      <c r="C49" s="55"/>
      <c r="I49" s="56">
        <v>46307.0</v>
      </c>
      <c r="J49" s="4" t="s">
        <v>545</v>
      </c>
      <c r="K49" s="4">
        <v>20.0</v>
      </c>
      <c r="M49" s="4">
        <v>5.0</v>
      </c>
      <c r="N49" s="4">
        <v>10.0</v>
      </c>
      <c r="P49" s="46"/>
    </row>
    <row r="50" ht="15.75" customHeight="1">
      <c r="C50" s="55"/>
      <c r="I50" s="56">
        <v>46314.0</v>
      </c>
      <c r="J50" s="4" t="s">
        <v>545</v>
      </c>
      <c r="K50" s="4">
        <v>20.0</v>
      </c>
      <c r="M50" s="4">
        <v>5.0</v>
      </c>
      <c r="N50" s="4">
        <v>10.0</v>
      </c>
      <c r="P50" s="46"/>
    </row>
    <row r="51" ht="15.75" customHeight="1">
      <c r="C51" s="55"/>
      <c r="I51" s="56">
        <v>46321.0</v>
      </c>
      <c r="J51" s="4" t="s">
        <v>545</v>
      </c>
      <c r="K51" s="4">
        <v>20.0</v>
      </c>
      <c r="M51" s="4">
        <v>5.0</v>
      </c>
      <c r="N51" s="4">
        <v>10.0</v>
      </c>
      <c r="P51" s="46"/>
    </row>
    <row r="52" ht="15.75" customHeight="1">
      <c r="C52" s="55"/>
      <c r="I52" s="56">
        <v>46328.0</v>
      </c>
      <c r="J52" s="4" t="s">
        <v>545</v>
      </c>
      <c r="K52" s="4">
        <v>20.0</v>
      </c>
      <c r="M52" s="4">
        <v>5.0</v>
      </c>
      <c r="N52" s="4">
        <v>10.0</v>
      </c>
      <c r="P52" s="46"/>
    </row>
    <row r="53" ht="15.75" customHeight="1">
      <c r="C53" s="55"/>
      <c r="I53" s="56">
        <v>46335.0</v>
      </c>
      <c r="J53" s="4" t="s">
        <v>545</v>
      </c>
      <c r="K53" s="4">
        <v>20.0</v>
      </c>
      <c r="M53" s="4">
        <v>5.0</v>
      </c>
      <c r="N53" s="4">
        <v>10.0</v>
      </c>
      <c r="P53" s="46"/>
    </row>
    <row r="54" ht="15.75" customHeight="1">
      <c r="C54" s="55"/>
      <c r="I54" s="56">
        <v>46342.0</v>
      </c>
      <c r="J54" s="4" t="s">
        <v>545</v>
      </c>
      <c r="K54" s="4">
        <v>20.0</v>
      </c>
      <c r="M54" s="4">
        <v>5.0</v>
      </c>
      <c r="N54" s="4">
        <v>10.0</v>
      </c>
    </row>
    <row r="55" ht="15.75" customHeight="1">
      <c r="C55" s="55"/>
      <c r="I55" s="56">
        <v>46349.0</v>
      </c>
      <c r="J55" s="4" t="s">
        <v>545</v>
      </c>
      <c r="K55" s="4">
        <v>20.0</v>
      </c>
      <c r="M55" s="4">
        <v>5.0</v>
      </c>
      <c r="N55" s="4">
        <v>10.0</v>
      </c>
    </row>
    <row r="56" ht="15.75" customHeight="1">
      <c r="C56" s="55"/>
      <c r="I56" s="56">
        <v>46356.0</v>
      </c>
      <c r="J56" s="4" t="s">
        <v>855</v>
      </c>
      <c r="K56" s="15">
        <f t="shared" ref="K56:N56" si="53">K55/5*1</f>
        <v>4</v>
      </c>
      <c r="L56" s="15">
        <f t="shared" si="53"/>
        <v>0</v>
      </c>
      <c r="M56" s="15">
        <f t="shared" si="53"/>
        <v>1</v>
      </c>
      <c r="N56" s="15">
        <f t="shared" si="53"/>
        <v>2</v>
      </c>
    </row>
    <row r="57" ht="15.75" customHeight="1">
      <c r="C57" s="55"/>
      <c r="I57" s="56">
        <v>46357.0</v>
      </c>
      <c r="J57" s="4" t="s">
        <v>847</v>
      </c>
      <c r="K57" s="15">
        <f t="shared" ref="K57:N57" si="54">K55/5*4</f>
        <v>16</v>
      </c>
      <c r="L57" s="15">
        <f t="shared" si="54"/>
        <v>0</v>
      </c>
      <c r="M57" s="15">
        <f t="shared" si="54"/>
        <v>4</v>
      </c>
      <c r="N57" s="15">
        <f t="shared" si="54"/>
        <v>8</v>
      </c>
    </row>
    <row r="58" ht="15.75" customHeight="1">
      <c r="C58" s="55"/>
      <c r="I58" s="56">
        <v>46363.0</v>
      </c>
      <c r="J58" s="4" t="s">
        <v>545</v>
      </c>
      <c r="K58" s="4">
        <v>20.0</v>
      </c>
      <c r="M58" s="4">
        <v>5.0</v>
      </c>
      <c r="N58" s="4">
        <v>10.0</v>
      </c>
    </row>
    <row r="59" ht="15.75" customHeight="1">
      <c r="C59" s="55"/>
      <c r="I59" s="56">
        <v>46370.0</v>
      </c>
      <c r="J59" s="4" t="s">
        <v>545</v>
      </c>
      <c r="K59" s="4">
        <v>20.0</v>
      </c>
      <c r="M59" s="4">
        <v>5.0</v>
      </c>
      <c r="N59" s="4">
        <v>10.0</v>
      </c>
    </row>
    <row r="60" ht="15.75" customHeight="1">
      <c r="C60" s="55"/>
      <c r="I60" s="56">
        <v>46377.0</v>
      </c>
      <c r="J60" s="4" t="s">
        <v>545</v>
      </c>
      <c r="K60" s="4">
        <v>20.0</v>
      </c>
      <c r="M60" s="4">
        <v>5.0</v>
      </c>
      <c r="N60" s="4">
        <v>10.0</v>
      </c>
    </row>
    <row r="61" ht="15.75" customHeight="1">
      <c r="C61" s="55"/>
      <c r="I61" s="56">
        <v>46384.0</v>
      </c>
      <c r="J61" s="4" t="s">
        <v>847</v>
      </c>
      <c r="K61" s="15">
        <f t="shared" ref="K61:N61" si="55">K60/5*4</f>
        <v>16</v>
      </c>
      <c r="L61" s="15">
        <f t="shared" si="55"/>
        <v>0</v>
      </c>
      <c r="M61" s="15">
        <f t="shared" si="55"/>
        <v>4</v>
      </c>
      <c r="N61" s="15">
        <f t="shared" si="55"/>
        <v>8</v>
      </c>
    </row>
    <row r="62" ht="15.75" customHeight="1">
      <c r="C62" s="55"/>
    </row>
    <row r="63" ht="15.75" customHeight="1">
      <c r="C63" s="55"/>
    </row>
    <row r="64" ht="15.75" customHeight="1">
      <c r="C64" s="55"/>
    </row>
    <row r="65" ht="15.75" customHeight="1">
      <c r="C65" s="55"/>
    </row>
    <row r="66" ht="15.75" customHeight="1">
      <c r="C66" s="55"/>
    </row>
    <row r="67" ht="15.75" customHeight="1">
      <c r="C67" s="55"/>
      <c r="I67" s="56"/>
    </row>
    <row r="68" ht="15.75" customHeight="1">
      <c r="C68" s="55"/>
    </row>
    <row r="69" ht="15.75" customHeight="1">
      <c r="C69" s="55"/>
    </row>
    <row r="70" ht="15.75" customHeight="1">
      <c r="C70" s="55"/>
    </row>
    <row r="71" ht="15.75" customHeight="1">
      <c r="C71" s="55"/>
    </row>
    <row r="72" ht="15.75" customHeight="1">
      <c r="C72" s="55"/>
    </row>
    <row r="73" ht="15.75" customHeight="1">
      <c r="C73" s="55"/>
    </row>
    <row r="74" ht="15.75" customHeight="1">
      <c r="C74" s="55"/>
    </row>
    <row r="75" ht="15.75" customHeight="1">
      <c r="C75" s="55"/>
    </row>
    <row r="76" ht="15.75" customHeight="1">
      <c r="C76" s="55"/>
    </row>
    <row r="77" ht="15.75" customHeight="1">
      <c r="C77" s="55"/>
    </row>
    <row r="78" ht="15.75" customHeight="1">
      <c r="C78" s="55"/>
    </row>
    <row r="79" ht="15.75" customHeight="1">
      <c r="C79" s="55"/>
    </row>
    <row r="80" ht="15.75" customHeight="1">
      <c r="C80" s="55"/>
    </row>
    <row r="81" ht="15.75" customHeight="1">
      <c r="C81" s="55"/>
    </row>
    <row r="82" ht="15.75" customHeight="1">
      <c r="C82" s="55"/>
    </row>
    <row r="83" ht="15.75" customHeight="1">
      <c r="C83" s="55"/>
    </row>
    <row r="84" ht="15.75" customHeight="1">
      <c r="C84" s="55"/>
    </row>
    <row r="85" ht="15.75" customHeight="1">
      <c r="C85" s="55"/>
    </row>
    <row r="86" ht="15.75" customHeight="1">
      <c r="C86" s="55"/>
    </row>
    <row r="87" ht="15.75" customHeight="1">
      <c r="C87" s="55"/>
    </row>
    <row r="88" ht="15.75" customHeight="1">
      <c r="C88" s="55"/>
    </row>
    <row r="89" ht="15.75" customHeight="1">
      <c r="C89" s="55"/>
    </row>
    <row r="90" ht="15.75" customHeight="1">
      <c r="C90" s="55"/>
    </row>
    <row r="91" ht="15.75" customHeight="1">
      <c r="C91" s="55"/>
    </row>
    <row r="92" ht="15.75" customHeight="1">
      <c r="C92" s="55"/>
    </row>
    <row r="93" ht="15.75" customHeight="1">
      <c r="C93" s="55"/>
    </row>
    <row r="94" ht="15.75" customHeight="1">
      <c r="C94" s="55"/>
    </row>
    <row r="95" ht="15.75" customHeight="1">
      <c r="C95" s="55"/>
    </row>
    <row r="96" ht="15.75" customHeight="1">
      <c r="C96" s="55"/>
    </row>
    <row r="97" ht="15.75" customHeight="1">
      <c r="C97" s="55"/>
    </row>
    <row r="98" ht="15.75" customHeight="1">
      <c r="C98" s="55"/>
    </row>
    <row r="99" ht="15.75" customHeight="1">
      <c r="C99" s="55"/>
    </row>
    <row r="100" ht="15.75" customHeight="1">
      <c r="C100" s="55"/>
    </row>
    <row r="101" ht="15.75" customHeight="1">
      <c r="C101" s="55"/>
    </row>
    <row r="102" ht="15.75" customHeight="1">
      <c r="C102" s="55"/>
    </row>
    <row r="103" ht="15.75" customHeight="1">
      <c r="C103" s="55"/>
    </row>
    <row r="104" ht="15.75" customHeight="1">
      <c r="C104" s="55"/>
    </row>
    <row r="105" ht="15.75" customHeight="1">
      <c r="C105" s="55"/>
    </row>
    <row r="106" ht="15.75" customHeight="1">
      <c r="C106" s="55"/>
    </row>
    <row r="107" ht="15.75" customHeight="1">
      <c r="C107" s="55"/>
    </row>
    <row r="108" ht="15.75" customHeight="1">
      <c r="C108" s="55"/>
    </row>
    <row r="109" ht="15.75" customHeight="1">
      <c r="C109" s="55"/>
    </row>
    <row r="110" ht="15.75" customHeight="1">
      <c r="C110" s="55"/>
    </row>
    <row r="111" ht="15.75" customHeight="1">
      <c r="C111" s="55"/>
    </row>
    <row r="112" ht="15.75" customHeight="1">
      <c r="C112" s="55"/>
    </row>
    <row r="113" ht="15.75" customHeight="1">
      <c r="C113" s="55"/>
    </row>
    <row r="114" ht="15.75" customHeight="1">
      <c r="C114" s="55"/>
    </row>
    <row r="115" ht="15.75" customHeight="1">
      <c r="C115" s="55"/>
    </row>
    <row r="116" ht="15.75" customHeight="1">
      <c r="C116" s="55"/>
    </row>
    <row r="117" ht="15.75" customHeight="1">
      <c r="C117" s="55"/>
    </row>
    <row r="118" ht="15.75" customHeight="1">
      <c r="C118" s="55"/>
    </row>
    <row r="119" ht="15.75" customHeight="1">
      <c r="C119" s="55"/>
    </row>
    <row r="120" ht="15.75" customHeight="1">
      <c r="C120" s="55"/>
    </row>
    <row r="121" ht="15.75" customHeight="1">
      <c r="C121" s="55"/>
    </row>
    <row r="122" ht="15.75" customHeight="1">
      <c r="C122" s="55"/>
    </row>
    <row r="123" ht="15.75" customHeight="1">
      <c r="C123" s="55"/>
    </row>
    <row r="124" ht="15.75" customHeight="1">
      <c r="C124" s="55"/>
    </row>
    <row r="125" ht="15.75" customHeight="1">
      <c r="C125" s="55"/>
    </row>
    <row r="126" ht="15.75" customHeight="1">
      <c r="C126" s="55"/>
    </row>
    <row r="127" ht="15.75" customHeight="1">
      <c r="C127" s="55"/>
    </row>
    <row r="128" ht="15.75" customHeight="1">
      <c r="C128" s="55"/>
    </row>
    <row r="129" ht="15.75" customHeight="1">
      <c r="C129" s="55"/>
    </row>
    <row r="130" ht="15.75" customHeight="1">
      <c r="C130" s="55"/>
    </row>
    <row r="131" ht="15.75" customHeight="1">
      <c r="C131" s="55"/>
    </row>
    <row r="132" ht="15.75" customHeight="1">
      <c r="C132" s="55"/>
    </row>
    <row r="133" ht="15.75" customHeight="1">
      <c r="C133" s="55"/>
    </row>
    <row r="134" ht="15.75" customHeight="1">
      <c r="C134" s="55"/>
    </row>
    <row r="135" ht="15.75" customHeight="1">
      <c r="C135" s="55"/>
    </row>
    <row r="136" ht="15.75" customHeight="1">
      <c r="C136" s="55"/>
    </row>
    <row r="137" ht="15.75" customHeight="1">
      <c r="C137" s="55"/>
    </row>
    <row r="138" ht="15.75" customHeight="1">
      <c r="C138" s="55"/>
    </row>
    <row r="139" ht="15.75" customHeight="1">
      <c r="C139" s="55"/>
    </row>
    <row r="140" ht="15.75" customHeight="1">
      <c r="C140" s="55"/>
    </row>
    <row r="141" ht="15.75" customHeight="1">
      <c r="C141" s="55"/>
    </row>
    <row r="142" ht="15.75" customHeight="1">
      <c r="C142" s="55"/>
    </row>
    <row r="143" ht="15.75" customHeight="1">
      <c r="C143" s="55"/>
    </row>
    <row r="144" ht="15.75" customHeight="1">
      <c r="C144" s="55"/>
    </row>
    <row r="145" ht="15.75" customHeight="1">
      <c r="C145" s="55"/>
    </row>
    <row r="146" ht="15.75" customHeight="1">
      <c r="C146" s="55"/>
    </row>
    <row r="147" ht="15.75" customHeight="1">
      <c r="C147" s="55"/>
    </row>
    <row r="148" ht="15.75" customHeight="1">
      <c r="C148" s="55"/>
    </row>
    <row r="149" ht="15.75" customHeight="1">
      <c r="C149" s="55"/>
    </row>
    <row r="150" ht="15.75" customHeight="1">
      <c r="C150" s="55"/>
    </row>
    <row r="151" ht="15.75" customHeight="1">
      <c r="C151" s="55"/>
    </row>
    <row r="152" ht="15.75" customHeight="1">
      <c r="C152" s="55"/>
    </row>
    <row r="153" ht="15.75" customHeight="1">
      <c r="C153" s="55"/>
    </row>
    <row r="154" ht="15.75" customHeight="1">
      <c r="C154" s="55"/>
    </row>
    <row r="155" ht="15.75" customHeight="1">
      <c r="C155" s="55"/>
    </row>
    <row r="156" ht="15.75" customHeight="1">
      <c r="C156" s="55"/>
    </row>
    <row r="157" ht="15.75" customHeight="1">
      <c r="C157" s="55"/>
    </row>
    <row r="158" ht="15.75" customHeight="1">
      <c r="C158" s="55"/>
    </row>
    <row r="159" ht="15.75" customHeight="1">
      <c r="C159" s="55"/>
    </row>
    <row r="160" ht="15.75" customHeight="1">
      <c r="C160" s="55"/>
    </row>
    <row r="161" ht="15.75" customHeight="1">
      <c r="C161" s="55"/>
    </row>
    <row r="162" ht="15.75" customHeight="1">
      <c r="C162" s="55"/>
    </row>
    <row r="163" ht="15.75" customHeight="1">
      <c r="C163" s="55"/>
    </row>
    <row r="164" ht="15.75" customHeight="1">
      <c r="C164" s="55"/>
    </row>
    <row r="165" ht="15.75" customHeight="1">
      <c r="C165" s="55"/>
    </row>
    <row r="166" ht="15.75" customHeight="1">
      <c r="C166" s="55"/>
    </row>
    <row r="167" ht="15.75" customHeight="1">
      <c r="C167" s="55"/>
    </row>
    <row r="168" ht="15.75" customHeight="1">
      <c r="C168" s="55"/>
    </row>
    <row r="169" ht="15.75" customHeight="1">
      <c r="C169" s="55"/>
    </row>
    <row r="170" ht="15.75" customHeight="1">
      <c r="C170" s="55"/>
    </row>
    <row r="171" ht="15.75" customHeight="1">
      <c r="C171" s="55"/>
    </row>
    <row r="172" ht="15.75" customHeight="1">
      <c r="C172" s="55"/>
    </row>
    <row r="173" ht="15.75" customHeight="1">
      <c r="C173" s="55"/>
    </row>
    <row r="174" ht="15.75" customHeight="1">
      <c r="C174" s="55"/>
    </row>
    <row r="175" ht="15.75" customHeight="1">
      <c r="C175" s="55"/>
    </row>
    <row r="176" ht="15.75" customHeight="1">
      <c r="C176" s="55"/>
    </row>
    <row r="177" ht="15.75" customHeight="1">
      <c r="C177" s="55"/>
    </row>
    <row r="178" ht="15.75" customHeight="1">
      <c r="C178" s="55"/>
    </row>
    <row r="179" ht="15.75" customHeight="1">
      <c r="C179" s="55"/>
    </row>
    <row r="180" ht="15.75" customHeight="1">
      <c r="C180" s="55"/>
    </row>
    <row r="181" ht="15.75" customHeight="1">
      <c r="C181" s="55"/>
    </row>
    <row r="182" ht="15.75" customHeight="1">
      <c r="C182" s="55"/>
    </row>
    <row r="183" ht="15.75" customHeight="1">
      <c r="C183" s="55"/>
    </row>
    <row r="184" ht="15.75" customHeight="1">
      <c r="C184" s="55"/>
    </row>
    <row r="185" ht="15.75" customHeight="1">
      <c r="C185" s="55"/>
    </row>
    <row r="186" ht="15.75" customHeight="1">
      <c r="C186" s="55"/>
    </row>
    <row r="187" ht="15.75" customHeight="1">
      <c r="C187" s="55"/>
    </row>
    <row r="188" ht="15.75" customHeight="1">
      <c r="C188" s="55"/>
    </row>
    <row r="189" ht="15.75" customHeight="1">
      <c r="C189" s="55"/>
    </row>
    <row r="190" ht="15.75" customHeight="1">
      <c r="C190" s="55"/>
    </row>
    <row r="191" ht="15.75" customHeight="1">
      <c r="C191" s="55"/>
    </row>
    <row r="192" ht="15.75" customHeight="1">
      <c r="C192" s="55"/>
    </row>
    <row r="193" ht="15.75" customHeight="1">
      <c r="C193" s="55"/>
    </row>
    <row r="194" ht="15.75" customHeight="1">
      <c r="C194" s="55"/>
    </row>
    <row r="195" ht="15.75" customHeight="1">
      <c r="C195" s="55"/>
    </row>
    <row r="196" ht="15.75" customHeight="1">
      <c r="C196" s="55"/>
    </row>
    <row r="197" ht="15.75" customHeight="1">
      <c r="C197" s="55"/>
    </row>
    <row r="198" ht="15.75" customHeight="1">
      <c r="C198" s="55"/>
    </row>
    <row r="199" ht="15.75" customHeight="1">
      <c r="C199" s="55"/>
    </row>
    <row r="200" ht="15.75" customHeight="1">
      <c r="C200" s="55"/>
    </row>
    <row r="201" ht="15.75" customHeight="1">
      <c r="C201" s="55"/>
    </row>
    <row r="202" ht="15.75" customHeight="1">
      <c r="C202" s="55"/>
    </row>
    <row r="203" ht="15.75" customHeight="1">
      <c r="C203" s="55"/>
    </row>
    <row r="204" ht="15.75" customHeight="1">
      <c r="C204" s="55"/>
    </row>
    <row r="205" ht="15.75" customHeight="1">
      <c r="C205" s="55"/>
    </row>
    <row r="206" ht="15.75" customHeight="1">
      <c r="C206" s="55"/>
    </row>
    <row r="207" ht="15.75" customHeight="1">
      <c r="C207" s="55"/>
    </row>
    <row r="208" ht="15.75" customHeight="1">
      <c r="C208" s="55"/>
    </row>
    <row r="209" ht="15.75" customHeight="1">
      <c r="C209" s="55"/>
    </row>
    <row r="210" ht="15.75" customHeight="1">
      <c r="C210" s="55"/>
    </row>
    <row r="211" ht="15.75" customHeight="1">
      <c r="C211" s="55"/>
    </row>
    <row r="212" ht="15.75" customHeight="1">
      <c r="C212" s="55"/>
    </row>
    <row r="213" ht="15.75" customHeight="1">
      <c r="C213" s="55"/>
    </row>
    <row r="214" ht="15.75" customHeight="1">
      <c r="C214" s="55"/>
    </row>
    <row r="215" ht="15.75" customHeight="1">
      <c r="C215" s="55"/>
    </row>
    <row r="216" ht="15.75" customHeight="1">
      <c r="C216" s="55"/>
    </row>
    <row r="217" ht="15.75" customHeight="1">
      <c r="C217" s="55"/>
    </row>
    <row r="218" ht="15.75" customHeight="1">
      <c r="C218" s="55"/>
    </row>
    <row r="219" ht="15.75" customHeight="1">
      <c r="C219" s="55"/>
    </row>
    <row r="220" ht="15.75" customHeight="1">
      <c r="C220" s="55"/>
    </row>
    <row r="221" ht="15.75" customHeight="1">
      <c r="C221" s="55"/>
    </row>
    <row r="222" ht="15.75" customHeight="1">
      <c r="C222" s="55"/>
    </row>
    <row r="223" ht="15.75" customHeight="1">
      <c r="C223" s="55"/>
    </row>
    <row r="224" ht="15.75" customHeight="1">
      <c r="C224" s="55"/>
    </row>
    <row r="225" ht="15.75" customHeight="1">
      <c r="C225" s="55"/>
    </row>
    <row r="226" ht="15.75" customHeight="1">
      <c r="C226" s="55"/>
    </row>
    <row r="227" ht="15.75" customHeight="1">
      <c r="C227" s="55"/>
    </row>
    <row r="228" ht="15.75" customHeight="1">
      <c r="C228" s="55"/>
    </row>
    <row r="229" ht="15.75" customHeight="1">
      <c r="C229" s="55"/>
    </row>
    <row r="230" ht="15.75" customHeight="1">
      <c r="C230" s="55"/>
    </row>
    <row r="231" ht="15.75" customHeight="1">
      <c r="C231" s="55"/>
    </row>
    <row r="232" ht="15.75" customHeight="1">
      <c r="C232" s="55"/>
    </row>
    <row r="233" ht="15.75" customHeight="1">
      <c r="C233" s="55"/>
    </row>
    <row r="234" ht="15.75" customHeight="1">
      <c r="C234" s="55"/>
    </row>
    <row r="235" ht="15.75" customHeight="1">
      <c r="C235" s="55"/>
    </row>
    <row r="236" ht="15.75" customHeight="1">
      <c r="C236" s="55"/>
    </row>
    <row r="237" ht="15.75" customHeight="1">
      <c r="C237" s="55"/>
    </row>
    <row r="238" ht="15.75" customHeight="1">
      <c r="C238" s="55"/>
    </row>
    <row r="239" ht="15.75" customHeight="1">
      <c r="C239" s="55"/>
    </row>
    <row r="240" ht="15.75" customHeight="1">
      <c r="C240" s="55"/>
    </row>
    <row r="241" ht="15.75" customHeight="1">
      <c r="C241" s="55"/>
    </row>
    <row r="242" ht="15.75" customHeight="1">
      <c r="C242" s="55"/>
    </row>
    <row r="243" ht="15.75" customHeight="1">
      <c r="C243" s="55"/>
    </row>
    <row r="244" ht="15.75" customHeight="1">
      <c r="C244" s="55"/>
    </row>
    <row r="245" ht="15.75" customHeight="1">
      <c r="C245" s="55"/>
    </row>
    <row r="246" ht="15.75" customHeight="1">
      <c r="C246" s="55"/>
    </row>
    <row r="247" ht="15.75" customHeight="1">
      <c r="C247" s="55"/>
    </row>
    <row r="248" ht="15.75" customHeight="1">
      <c r="C248" s="55"/>
    </row>
    <row r="249" ht="15.75" customHeight="1">
      <c r="C249" s="55"/>
    </row>
    <row r="250" ht="15.75" customHeight="1">
      <c r="C250" s="55"/>
    </row>
    <row r="251" ht="15.75" customHeight="1">
      <c r="C251" s="55"/>
    </row>
    <row r="252" ht="15.75" customHeight="1">
      <c r="C252" s="55"/>
    </row>
    <row r="253" ht="15.75" customHeight="1">
      <c r="C253" s="55"/>
    </row>
    <row r="254" ht="15.75" customHeight="1">
      <c r="C254" s="55"/>
    </row>
    <row r="255" ht="15.75" customHeight="1">
      <c r="C255" s="55"/>
    </row>
    <row r="256" ht="15.75" customHeight="1">
      <c r="C256" s="55"/>
    </row>
    <row r="257" ht="15.75" customHeight="1">
      <c r="C257" s="55"/>
    </row>
    <row r="258" ht="15.75" customHeight="1">
      <c r="C258" s="55"/>
    </row>
    <row r="259" ht="15.75" customHeight="1">
      <c r="C259" s="55"/>
    </row>
    <row r="260" ht="15.75" customHeight="1">
      <c r="C260" s="55"/>
    </row>
    <row r="261" ht="15.75" customHeight="1">
      <c r="C261" s="55"/>
    </row>
    <row r="262" ht="15.75" customHeight="1">
      <c r="C262" s="55"/>
    </row>
    <row r="263" ht="15.75" customHeight="1">
      <c r="C263" s="55"/>
    </row>
    <row r="264" ht="15.75" customHeight="1">
      <c r="C264" s="55"/>
    </row>
    <row r="265" ht="15.75" customHeight="1">
      <c r="C265" s="55"/>
    </row>
    <row r="266" ht="15.75" customHeight="1">
      <c r="C266" s="55"/>
    </row>
    <row r="267" ht="15.75" customHeight="1">
      <c r="C267" s="55"/>
    </row>
    <row r="268" ht="15.75" customHeight="1">
      <c r="C268" s="55"/>
    </row>
    <row r="269" ht="15.75" customHeight="1">
      <c r="C269" s="55"/>
    </row>
    <row r="270" ht="15.75" customHeight="1">
      <c r="C270" s="55"/>
    </row>
    <row r="271" ht="15.75" customHeight="1">
      <c r="C271" s="55"/>
    </row>
    <row r="272" ht="15.75" customHeight="1">
      <c r="C272" s="55"/>
    </row>
    <row r="273" ht="15.75" customHeight="1">
      <c r="C273" s="55"/>
    </row>
    <row r="274" ht="15.75" customHeight="1">
      <c r="C274" s="55"/>
    </row>
    <row r="275" ht="15.75" customHeight="1">
      <c r="C275" s="55"/>
    </row>
    <row r="276" ht="15.75" customHeight="1">
      <c r="C276" s="55"/>
    </row>
    <row r="277" ht="15.75" customHeight="1">
      <c r="C277" s="55"/>
    </row>
    <row r="278" ht="15.75" customHeight="1">
      <c r="C278" s="55"/>
    </row>
    <row r="279" ht="15.75" customHeight="1">
      <c r="C279" s="55"/>
    </row>
    <row r="280" ht="15.75" customHeight="1">
      <c r="C280" s="55"/>
    </row>
    <row r="281" ht="15.75" customHeight="1">
      <c r="C281" s="55"/>
    </row>
    <row r="282" ht="15.75" customHeight="1">
      <c r="C282" s="55"/>
    </row>
    <row r="283" ht="15.75" customHeight="1">
      <c r="C283" s="55"/>
    </row>
    <row r="284" ht="15.75" customHeight="1">
      <c r="C284" s="55"/>
    </row>
    <row r="285" ht="15.75" customHeight="1">
      <c r="C285" s="55"/>
    </row>
    <row r="286" ht="15.75" customHeight="1">
      <c r="C286" s="55"/>
    </row>
    <row r="287" ht="15.75" customHeight="1">
      <c r="C287" s="55"/>
    </row>
    <row r="288" ht="15.75" customHeight="1">
      <c r="C288" s="55"/>
    </row>
    <row r="289" ht="15.75" customHeight="1">
      <c r="C289" s="55"/>
    </row>
    <row r="290" ht="15.75" customHeight="1">
      <c r="C290" s="55"/>
    </row>
    <row r="291" ht="15.75" customHeight="1">
      <c r="C291" s="55"/>
    </row>
    <row r="292" ht="15.75" customHeight="1">
      <c r="C292" s="55"/>
    </row>
    <row r="293" ht="15.75" customHeight="1">
      <c r="C293" s="55"/>
    </row>
    <row r="294" ht="15.75" customHeight="1">
      <c r="C294" s="55"/>
    </row>
    <row r="295" ht="15.75" customHeight="1">
      <c r="C295" s="55"/>
    </row>
    <row r="296" ht="15.75" customHeight="1">
      <c r="C296" s="55"/>
    </row>
    <row r="297" ht="15.75" customHeight="1">
      <c r="C297" s="55"/>
    </row>
    <row r="298" ht="15.75" customHeight="1">
      <c r="C298" s="55"/>
    </row>
    <row r="299" ht="15.75" customHeight="1">
      <c r="C299" s="55"/>
    </row>
    <row r="300" ht="15.75" customHeight="1">
      <c r="C300" s="55"/>
    </row>
    <row r="301" ht="15.75" customHeight="1">
      <c r="C301" s="55"/>
    </row>
    <row r="302" ht="15.75" customHeight="1">
      <c r="C302" s="55"/>
    </row>
    <row r="303" ht="15.75" customHeight="1">
      <c r="C303" s="55"/>
    </row>
    <row r="304" ht="15.75" customHeight="1">
      <c r="C304" s="55"/>
    </row>
    <row r="305" ht="15.75" customHeight="1">
      <c r="C305" s="55"/>
    </row>
    <row r="306" ht="15.75" customHeight="1">
      <c r="C306" s="55"/>
    </row>
    <row r="307" ht="15.75" customHeight="1">
      <c r="C307" s="55"/>
    </row>
    <row r="308" ht="15.75" customHeight="1">
      <c r="C308" s="55"/>
    </row>
    <row r="309" ht="15.75" customHeight="1">
      <c r="C309" s="55"/>
    </row>
    <row r="310" ht="15.75" customHeight="1">
      <c r="C310" s="55"/>
    </row>
    <row r="311" ht="15.75" customHeight="1">
      <c r="C311" s="55"/>
    </row>
    <row r="312" ht="15.75" customHeight="1">
      <c r="C312" s="55"/>
    </row>
    <row r="313" ht="15.75" customHeight="1">
      <c r="C313" s="55"/>
    </row>
    <row r="314" ht="15.75" customHeight="1">
      <c r="C314" s="55"/>
    </row>
    <row r="315" ht="15.75" customHeight="1">
      <c r="C315" s="55"/>
    </row>
    <row r="316" ht="15.75" customHeight="1">
      <c r="C316" s="55"/>
    </row>
    <row r="317" ht="15.75" customHeight="1">
      <c r="C317" s="55"/>
    </row>
    <row r="318" ht="15.75" customHeight="1">
      <c r="C318" s="55"/>
    </row>
    <row r="319" ht="15.75" customHeight="1">
      <c r="C319" s="55"/>
    </row>
    <row r="320" ht="15.75" customHeight="1">
      <c r="C320" s="55"/>
    </row>
    <row r="321" ht="15.75" customHeight="1">
      <c r="C321" s="55"/>
    </row>
    <row r="322" ht="15.75" customHeight="1">
      <c r="C322" s="55"/>
    </row>
    <row r="323" ht="15.75" customHeight="1">
      <c r="C323" s="55"/>
    </row>
    <row r="324" ht="15.75" customHeight="1">
      <c r="C324" s="55"/>
    </row>
    <row r="325" ht="15.75" customHeight="1">
      <c r="C325" s="55"/>
    </row>
    <row r="326" ht="15.75" customHeight="1">
      <c r="C326" s="55"/>
    </row>
    <row r="327" ht="15.75" customHeight="1">
      <c r="C327" s="55"/>
    </row>
    <row r="328" ht="15.75" customHeight="1">
      <c r="C328" s="55"/>
    </row>
    <row r="329" ht="15.75" customHeight="1">
      <c r="C329" s="55"/>
    </row>
    <row r="330" ht="15.75" customHeight="1">
      <c r="C330" s="55"/>
    </row>
    <row r="331" ht="15.75" customHeight="1">
      <c r="C331" s="55"/>
    </row>
    <row r="332" ht="15.75" customHeight="1">
      <c r="C332" s="55"/>
    </row>
    <row r="333" ht="15.75" customHeight="1">
      <c r="C333" s="55"/>
    </row>
    <row r="334" ht="15.75" customHeight="1">
      <c r="C334" s="55"/>
    </row>
    <row r="335" ht="15.75" customHeight="1">
      <c r="C335" s="55"/>
    </row>
    <row r="336" ht="15.75" customHeight="1">
      <c r="C336" s="55"/>
    </row>
    <row r="337" ht="15.75" customHeight="1">
      <c r="C337" s="55"/>
    </row>
    <row r="338" ht="15.75" customHeight="1">
      <c r="C338" s="55"/>
    </row>
    <row r="339" ht="15.75" customHeight="1">
      <c r="C339" s="55"/>
    </row>
    <row r="340" ht="15.75" customHeight="1">
      <c r="C340" s="55"/>
    </row>
    <row r="341" ht="15.75" customHeight="1">
      <c r="C341" s="55"/>
    </row>
    <row r="342" ht="15.75" customHeight="1">
      <c r="C342" s="55"/>
    </row>
    <row r="343" ht="15.75" customHeight="1">
      <c r="C343" s="55"/>
    </row>
    <row r="344" ht="15.75" customHeight="1">
      <c r="C344" s="55"/>
    </row>
    <row r="345" ht="15.75" customHeight="1">
      <c r="C345" s="55"/>
    </row>
    <row r="346" ht="15.75" customHeight="1">
      <c r="C346" s="55"/>
    </row>
    <row r="347" ht="15.75" customHeight="1">
      <c r="C347" s="55"/>
    </row>
    <row r="348" ht="15.75" customHeight="1">
      <c r="C348" s="55"/>
    </row>
    <row r="349" ht="15.75" customHeight="1">
      <c r="C349" s="55"/>
    </row>
    <row r="350" ht="15.75" customHeight="1">
      <c r="C350" s="55"/>
    </row>
    <row r="351" ht="15.75" customHeight="1">
      <c r="C351" s="55"/>
    </row>
    <row r="352" ht="15.75" customHeight="1">
      <c r="C352" s="55"/>
    </row>
    <row r="353" ht="15.75" customHeight="1">
      <c r="C353" s="55"/>
    </row>
    <row r="354" ht="15.75" customHeight="1">
      <c r="C354" s="55"/>
    </row>
    <row r="355" ht="15.75" customHeight="1">
      <c r="C355" s="55"/>
    </row>
    <row r="356" ht="15.75" customHeight="1">
      <c r="C356" s="55"/>
    </row>
    <row r="357" ht="15.75" customHeight="1">
      <c r="C357" s="55"/>
    </row>
    <row r="358" ht="15.75" customHeight="1">
      <c r="C358" s="55"/>
    </row>
    <row r="359" ht="15.75" customHeight="1">
      <c r="C359" s="55"/>
    </row>
    <row r="360" ht="15.75" customHeight="1">
      <c r="C360" s="55"/>
    </row>
    <row r="361" ht="15.75" customHeight="1">
      <c r="C361" s="55"/>
    </row>
    <row r="362" ht="15.75" customHeight="1">
      <c r="C362" s="55"/>
    </row>
    <row r="363" ht="15.75" customHeight="1">
      <c r="C363" s="55"/>
    </row>
    <row r="364" ht="15.75" customHeight="1">
      <c r="C364" s="55"/>
    </row>
    <row r="365" ht="15.75" customHeight="1">
      <c r="C365" s="55"/>
    </row>
    <row r="366" ht="15.75" customHeight="1">
      <c r="C366" s="55"/>
    </row>
    <row r="367" ht="15.75" customHeight="1">
      <c r="C367" s="55"/>
    </row>
    <row r="368" ht="15.75" customHeight="1">
      <c r="C368" s="55"/>
    </row>
    <row r="369" ht="15.75" customHeight="1">
      <c r="C369" s="55"/>
    </row>
    <row r="370" ht="15.75" customHeight="1">
      <c r="C370" s="55"/>
    </row>
    <row r="371" ht="15.75" customHeight="1">
      <c r="C371" s="55"/>
    </row>
    <row r="372" ht="15.75" customHeight="1">
      <c r="C372" s="55"/>
    </row>
    <row r="373" ht="15.75" customHeight="1">
      <c r="C373" s="55"/>
    </row>
    <row r="374" ht="15.75" customHeight="1">
      <c r="C374" s="55"/>
    </row>
    <row r="375" ht="15.75" customHeight="1">
      <c r="C375" s="55"/>
    </row>
    <row r="376" ht="15.75" customHeight="1">
      <c r="C376" s="55"/>
    </row>
    <row r="377" ht="15.75" customHeight="1">
      <c r="C377" s="55"/>
    </row>
    <row r="378" ht="15.75" customHeight="1">
      <c r="C378" s="55"/>
    </row>
    <row r="379" ht="15.75" customHeight="1">
      <c r="C379" s="55"/>
    </row>
    <row r="380" ht="15.75" customHeight="1">
      <c r="C380" s="55"/>
    </row>
    <row r="381" ht="15.75" customHeight="1">
      <c r="C381" s="55"/>
    </row>
    <row r="382" ht="15.75" customHeight="1">
      <c r="C382" s="55"/>
    </row>
    <row r="383" ht="15.75" customHeight="1">
      <c r="C383" s="55"/>
    </row>
    <row r="384" ht="15.75" customHeight="1">
      <c r="C384" s="55"/>
    </row>
    <row r="385" ht="15.75" customHeight="1">
      <c r="C385" s="55"/>
    </row>
    <row r="386" ht="15.75" customHeight="1">
      <c r="C386" s="55"/>
    </row>
    <row r="387" ht="15.75" customHeight="1">
      <c r="C387" s="55"/>
    </row>
    <row r="388" ht="15.75" customHeight="1">
      <c r="C388" s="55"/>
    </row>
    <row r="389" ht="15.75" customHeight="1">
      <c r="C389" s="55"/>
    </row>
    <row r="390" ht="15.75" customHeight="1">
      <c r="C390" s="55"/>
    </row>
    <row r="391" ht="15.75" customHeight="1">
      <c r="C391" s="55"/>
    </row>
    <row r="392" ht="15.75" customHeight="1">
      <c r="C392" s="55"/>
    </row>
    <row r="393" ht="15.75" customHeight="1">
      <c r="C393" s="55"/>
    </row>
    <row r="394" ht="15.75" customHeight="1">
      <c r="C394" s="55"/>
    </row>
    <row r="395" ht="15.75" customHeight="1">
      <c r="C395" s="55"/>
    </row>
    <row r="396" ht="15.75" customHeight="1">
      <c r="C396" s="55"/>
    </row>
    <row r="397" ht="15.75" customHeight="1">
      <c r="C397" s="55"/>
    </row>
    <row r="398" ht="15.75" customHeight="1">
      <c r="C398" s="55"/>
    </row>
    <row r="399" ht="15.75" customHeight="1">
      <c r="C399" s="55"/>
    </row>
    <row r="400" ht="15.75" customHeight="1">
      <c r="C400" s="55"/>
    </row>
    <row r="401" ht="15.75" customHeight="1">
      <c r="C401" s="55"/>
    </row>
    <row r="402" ht="15.75" customHeight="1">
      <c r="C402" s="55"/>
    </row>
    <row r="403" ht="15.75" customHeight="1">
      <c r="C403" s="55"/>
    </row>
    <row r="404" ht="15.75" customHeight="1">
      <c r="C404" s="55"/>
    </row>
    <row r="405" ht="15.75" customHeight="1">
      <c r="C405" s="55"/>
    </row>
    <row r="406" ht="15.75" customHeight="1">
      <c r="C406" s="55"/>
    </row>
    <row r="407" ht="15.75" customHeight="1">
      <c r="C407" s="55"/>
    </row>
    <row r="408" ht="15.75" customHeight="1">
      <c r="C408" s="55"/>
    </row>
    <row r="409" ht="15.75" customHeight="1">
      <c r="C409" s="55"/>
    </row>
    <row r="410" ht="15.75" customHeight="1">
      <c r="C410" s="55"/>
    </row>
    <row r="411" ht="15.75" customHeight="1">
      <c r="C411" s="55"/>
    </row>
    <row r="412" ht="15.75" customHeight="1">
      <c r="C412" s="55"/>
    </row>
    <row r="413" ht="15.75" customHeight="1">
      <c r="C413" s="55"/>
    </row>
    <row r="414" ht="15.75" customHeight="1">
      <c r="C414" s="55"/>
    </row>
    <row r="415" ht="15.75" customHeight="1">
      <c r="C415" s="55"/>
    </row>
    <row r="416" ht="15.75" customHeight="1">
      <c r="C416" s="55"/>
    </row>
    <row r="417" ht="15.75" customHeight="1">
      <c r="C417" s="55"/>
    </row>
    <row r="418" ht="15.75" customHeight="1">
      <c r="C418" s="55"/>
    </row>
    <row r="419" ht="15.75" customHeight="1">
      <c r="C419" s="55"/>
    </row>
    <row r="420" ht="15.75" customHeight="1">
      <c r="C420" s="55"/>
    </row>
    <row r="421" ht="15.75" customHeight="1">
      <c r="C421" s="55"/>
    </row>
    <row r="422" ht="15.75" customHeight="1">
      <c r="C422" s="55"/>
    </row>
    <row r="423" ht="15.75" customHeight="1">
      <c r="C423" s="55"/>
    </row>
    <row r="424" ht="15.75" customHeight="1">
      <c r="C424" s="55"/>
    </row>
    <row r="425" ht="15.75" customHeight="1">
      <c r="C425" s="55"/>
    </row>
    <row r="426" ht="15.75" customHeight="1">
      <c r="C426" s="55"/>
    </row>
    <row r="427" ht="15.75" customHeight="1">
      <c r="C427" s="55"/>
    </row>
    <row r="428" ht="15.75" customHeight="1">
      <c r="C428" s="55"/>
    </row>
    <row r="429" ht="15.75" customHeight="1">
      <c r="C429" s="55"/>
    </row>
    <row r="430" ht="15.75" customHeight="1">
      <c r="C430" s="55"/>
    </row>
    <row r="431" ht="15.75" customHeight="1">
      <c r="C431" s="55"/>
    </row>
    <row r="432" ht="15.75" customHeight="1">
      <c r="C432" s="55"/>
    </row>
    <row r="433" ht="15.75" customHeight="1">
      <c r="C433" s="55"/>
    </row>
    <row r="434" ht="15.75" customHeight="1">
      <c r="C434" s="55"/>
    </row>
    <row r="435" ht="15.75" customHeight="1">
      <c r="C435" s="55"/>
    </row>
    <row r="436" ht="15.75" customHeight="1">
      <c r="C436" s="55"/>
    </row>
    <row r="437" ht="15.75" customHeight="1">
      <c r="C437" s="55"/>
    </row>
    <row r="438" ht="15.75" customHeight="1">
      <c r="C438" s="55"/>
    </row>
    <row r="439" ht="15.75" customHeight="1">
      <c r="C439" s="55"/>
    </row>
    <row r="440" ht="15.75" customHeight="1">
      <c r="C440" s="55"/>
    </row>
    <row r="441" ht="15.75" customHeight="1">
      <c r="C441" s="55"/>
    </row>
    <row r="442" ht="15.75" customHeight="1">
      <c r="C442" s="55"/>
    </row>
    <row r="443" ht="15.75" customHeight="1">
      <c r="C443" s="55"/>
    </row>
    <row r="444" ht="15.75" customHeight="1">
      <c r="C444" s="55"/>
    </row>
    <row r="445" ht="15.75" customHeight="1">
      <c r="C445" s="55"/>
    </row>
    <row r="446" ht="15.75" customHeight="1">
      <c r="C446" s="55"/>
    </row>
    <row r="447" ht="15.75" customHeight="1">
      <c r="C447" s="55"/>
    </row>
    <row r="448" ht="15.75" customHeight="1">
      <c r="C448" s="55"/>
    </row>
    <row r="449" ht="15.75" customHeight="1">
      <c r="C449" s="55"/>
    </row>
    <row r="450" ht="15.75" customHeight="1">
      <c r="C450" s="55"/>
    </row>
    <row r="451" ht="15.75" customHeight="1">
      <c r="C451" s="55"/>
    </row>
    <row r="452" ht="15.75" customHeight="1">
      <c r="C452" s="55"/>
    </row>
    <row r="453" ht="15.75" customHeight="1">
      <c r="C453" s="55"/>
    </row>
    <row r="454" ht="15.75" customHeight="1">
      <c r="C454" s="55"/>
    </row>
    <row r="455" ht="15.75" customHeight="1">
      <c r="C455" s="55"/>
    </row>
    <row r="456" ht="15.75" customHeight="1">
      <c r="C456" s="55"/>
    </row>
    <row r="457" ht="15.75" customHeight="1">
      <c r="C457" s="55"/>
    </row>
    <row r="458" ht="15.75" customHeight="1">
      <c r="C458" s="55"/>
    </row>
    <row r="459" ht="15.75" customHeight="1">
      <c r="C459" s="55"/>
    </row>
    <row r="460" ht="15.75" customHeight="1">
      <c r="C460" s="55"/>
    </row>
    <row r="461" ht="15.75" customHeight="1">
      <c r="C461" s="55"/>
    </row>
    <row r="462" ht="15.75" customHeight="1">
      <c r="C462" s="55"/>
    </row>
    <row r="463" ht="15.75" customHeight="1">
      <c r="C463" s="55"/>
    </row>
    <row r="464" ht="15.75" customHeight="1">
      <c r="C464" s="55"/>
    </row>
    <row r="465" ht="15.75" customHeight="1">
      <c r="C465" s="55"/>
    </row>
    <row r="466" ht="15.75" customHeight="1">
      <c r="C466" s="55"/>
    </row>
    <row r="467" ht="15.75" customHeight="1">
      <c r="C467" s="55"/>
    </row>
    <row r="468" ht="15.75" customHeight="1">
      <c r="C468" s="55"/>
    </row>
    <row r="469" ht="15.75" customHeight="1">
      <c r="C469" s="55"/>
    </row>
    <row r="470" ht="15.75" customHeight="1">
      <c r="C470" s="55"/>
    </row>
    <row r="471" ht="15.75" customHeight="1">
      <c r="C471" s="55"/>
    </row>
    <row r="472" ht="15.75" customHeight="1">
      <c r="C472" s="55"/>
    </row>
    <row r="473" ht="15.75" customHeight="1">
      <c r="C473" s="55"/>
    </row>
    <row r="474" ht="15.75" customHeight="1">
      <c r="C474" s="55"/>
    </row>
    <row r="475" ht="15.75" customHeight="1">
      <c r="C475" s="55"/>
    </row>
    <row r="476" ht="15.75" customHeight="1">
      <c r="C476" s="55"/>
    </row>
    <row r="477" ht="15.75" customHeight="1">
      <c r="C477" s="55"/>
    </row>
    <row r="478" ht="15.75" customHeight="1">
      <c r="C478" s="55"/>
    </row>
    <row r="479" ht="15.75" customHeight="1">
      <c r="C479" s="55"/>
    </row>
    <row r="480" ht="15.75" customHeight="1">
      <c r="C480" s="55"/>
    </row>
    <row r="481" ht="15.75" customHeight="1">
      <c r="C481" s="55"/>
    </row>
    <row r="482" ht="15.75" customHeight="1">
      <c r="C482" s="55"/>
    </row>
    <row r="483" ht="15.75" customHeight="1">
      <c r="C483" s="55"/>
    </row>
    <row r="484" ht="15.75" customHeight="1">
      <c r="C484" s="55"/>
    </row>
    <row r="485" ht="15.75" customHeight="1">
      <c r="C485" s="55"/>
    </row>
    <row r="486" ht="15.75" customHeight="1">
      <c r="C486" s="55"/>
    </row>
    <row r="487" ht="15.75" customHeight="1">
      <c r="C487" s="55"/>
    </row>
    <row r="488" ht="15.75" customHeight="1">
      <c r="C488" s="55"/>
    </row>
    <row r="489" ht="15.75" customHeight="1">
      <c r="C489" s="55"/>
    </row>
    <row r="490" ht="15.75" customHeight="1">
      <c r="C490" s="55"/>
    </row>
    <row r="491" ht="15.75" customHeight="1">
      <c r="C491" s="55"/>
    </row>
    <row r="492" ht="15.75" customHeight="1">
      <c r="C492" s="55"/>
    </row>
    <row r="493" ht="15.75" customHeight="1">
      <c r="C493" s="55"/>
    </row>
    <row r="494" ht="15.75" customHeight="1">
      <c r="C494" s="55"/>
    </row>
    <row r="495" ht="15.75" customHeight="1">
      <c r="C495" s="55"/>
    </row>
    <row r="496" ht="15.75" customHeight="1">
      <c r="C496" s="55"/>
    </row>
    <row r="497" ht="15.75" customHeight="1">
      <c r="C497" s="55"/>
    </row>
    <row r="498" ht="15.75" customHeight="1">
      <c r="C498" s="55"/>
    </row>
    <row r="499" ht="15.75" customHeight="1">
      <c r="C499" s="55"/>
    </row>
    <row r="500" ht="15.75" customHeight="1">
      <c r="C500" s="55"/>
    </row>
    <row r="501" ht="15.75" customHeight="1">
      <c r="C501" s="55"/>
    </row>
    <row r="502" ht="15.75" customHeight="1">
      <c r="C502" s="55"/>
    </row>
    <row r="503" ht="15.75" customHeight="1">
      <c r="C503" s="55"/>
    </row>
    <row r="504" ht="15.75" customHeight="1">
      <c r="C504" s="55"/>
    </row>
    <row r="505" ht="15.75" customHeight="1">
      <c r="C505" s="55"/>
    </row>
    <row r="506" ht="15.75" customHeight="1">
      <c r="C506" s="55"/>
    </row>
    <row r="507" ht="15.75" customHeight="1">
      <c r="C507" s="55"/>
    </row>
    <row r="508" ht="15.75" customHeight="1">
      <c r="C508" s="55"/>
    </row>
    <row r="509" ht="15.75" customHeight="1">
      <c r="C509" s="55"/>
    </row>
    <row r="510" ht="15.75" customHeight="1">
      <c r="C510" s="55"/>
    </row>
    <row r="511" ht="15.75" customHeight="1">
      <c r="C511" s="55"/>
    </row>
    <row r="512" ht="15.75" customHeight="1">
      <c r="C512" s="55"/>
    </row>
    <row r="513" ht="15.75" customHeight="1">
      <c r="C513" s="55"/>
    </row>
    <row r="514" ht="15.75" customHeight="1">
      <c r="C514" s="55"/>
    </row>
    <row r="515" ht="15.75" customHeight="1">
      <c r="C515" s="55"/>
    </row>
    <row r="516" ht="15.75" customHeight="1">
      <c r="C516" s="55"/>
    </row>
    <row r="517" ht="15.75" customHeight="1">
      <c r="C517" s="55"/>
    </row>
    <row r="518" ht="15.75" customHeight="1">
      <c r="C518" s="55"/>
    </row>
    <row r="519" ht="15.75" customHeight="1">
      <c r="C519" s="55"/>
    </row>
    <row r="520" ht="15.75" customHeight="1">
      <c r="C520" s="55"/>
    </row>
    <row r="521" ht="15.75" customHeight="1">
      <c r="C521" s="55"/>
    </row>
    <row r="522" ht="15.75" customHeight="1">
      <c r="C522" s="55"/>
    </row>
    <row r="523" ht="15.75" customHeight="1">
      <c r="C523" s="55"/>
    </row>
    <row r="524" ht="15.75" customHeight="1">
      <c r="C524" s="55"/>
    </row>
    <row r="525" ht="15.75" customHeight="1">
      <c r="C525" s="55"/>
    </row>
    <row r="526" ht="15.75" customHeight="1">
      <c r="C526" s="55"/>
    </row>
    <row r="527" ht="15.75" customHeight="1">
      <c r="C527" s="55"/>
    </row>
    <row r="528" ht="15.75" customHeight="1">
      <c r="C528" s="55"/>
    </row>
    <row r="529" ht="15.75" customHeight="1">
      <c r="C529" s="55"/>
    </row>
    <row r="530" ht="15.75" customHeight="1">
      <c r="C530" s="55"/>
    </row>
    <row r="531" ht="15.75" customHeight="1">
      <c r="C531" s="55"/>
    </row>
    <row r="532" ht="15.75" customHeight="1">
      <c r="C532" s="55"/>
    </row>
    <row r="533" ht="15.75" customHeight="1">
      <c r="C533" s="55"/>
    </row>
    <row r="534" ht="15.75" customHeight="1">
      <c r="C534" s="55"/>
    </row>
    <row r="535" ht="15.75" customHeight="1">
      <c r="C535" s="55"/>
    </row>
    <row r="536" ht="15.75" customHeight="1">
      <c r="C536" s="55"/>
    </row>
    <row r="537" ht="15.75" customHeight="1">
      <c r="C537" s="55"/>
    </row>
    <row r="538" ht="15.75" customHeight="1">
      <c r="C538" s="55"/>
    </row>
    <row r="539" ht="15.75" customHeight="1">
      <c r="C539" s="55"/>
    </row>
    <row r="540" ht="15.75" customHeight="1">
      <c r="C540" s="55"/>
    </row>
    <row r="541" ht="15.75" customHeight="1">
      <c r="C541" s="55"/>
    </row>
    <row r="542" ht="15.75" customHeight="1">
      <c r="C542" s="55"/>
    </row>
    <row r="543" ht="15.75" customHeight="1">
      <c r="C543" s="55"/>
    </row>
    <row r="544" ht="15.75" customHeight="1">
      <c r="C544" s="55"/>
    </row>
    <row r="545" ht="15.75" customHeight="1">
      <c r="C545" s="55"/>
    </row>
    <row r="546" ht="15.75" customHeight="1">
      <c r="C546" s="55"/>
    </row>
    <row r="547" ht="15.75" customHeight="1">
      <c r="C547" s="55"/>
    </row>
    <row r="548" ht="15.75" customHeight="1">
      <c r="C548" s="55"/>
    </row>
    <row r="549" ht="15.75" customHeight="1">
      <c r="C549" s="55"/>
    </row>
    <row r="550" ht="15.75" customHeight="1">
      <c r="C550" s="55"/>
    </row>
    <row r="551" ht="15.75" customHeight="1">
      <c r="C551" s="55"/>
    </row>
    <row r="552" ht="15.75" customHeight="1">
      <c r="C552" s="55"/>
    </row>
    <row r="553" ht="15.75" customHeight="1">
      <c r="C553" s="55"/>
    </row>
    <row r="554" ht="15.75" customHeight="1">
      <c r="C554" s="55"/>
    </row>
    <row r="555" ht="15.75" customHeight="1">
      <c r="C555" s="55"/>
    </row>
    <row r="556" ht="15.75" customHeight="1">
      <c r="C556" s="55"/>
    </row>
    <row r="557" ht="15.75" customHeight="1">
      <c r="C557" s="55"/>
    </row>
    <row r="558" ht="15.75" customHeight="1">
      <c r="C558" s="55"/>
    </row>
    <row r="559" ht="15.75" customHeight="1">
      <c r="C559" s="55"/>
    </row>
    <row r="560" ht="15.75" customHeight="1">
      <c r="C560" s="55"/>
    </row>
    <row r="561" ht="15.75" customHeight="1">
      <c r="C561" s="55"/>
    </row>
    <row r="562" ht="15.75" customHeight="1">
      <c r="C562" s="55"/>
    </row>
    <row r="563" ht="15.75" customHeight="1">
      <c r="C563" s="55"/>
    </row>
    <row r="564" ht="15.75" customHeight="1">
      <c r="C564" s="55"/>
    </row>
    <row r="565" ht="15.75" customHeight="1">
      <c r="C565" s="55"/>
    </row>
    <row r="566" ht="15.75" customHeight="1">
      <c r="C566" s="55"/>
    </row>
    <row r="567" ht="15.75" customHeight="1">
      <c r="C567" s="55"/>
    </row>
    <row r="568" ht="15.75" customHeight="1">
      <c r="C568" s="55"/>
    </row>
    <row r="569" ht="15.75" customHeight="1">
      <c r="C569" s="55"/>
    </row>
    <row r="570" ht="15.75" customHeight="1">
      <c r="C570" s="55"/>
    </row>
    <row r="571" ht="15.75" customHeight="1">
      <c r="C571" s="55"/>
    </row>
    <row r="572" ht="15.75" customHeight="1">
      <c r="C572" s="55"/>
    </row>
    <row r="573" ht="15.75" customHeight="1">
      <c r="C573" s="55"/>
    </row>
    <row r="574" ht="15.75" customHeight="1">
      <c r="C574" s="55"/>
    </row>
    <row r="575" ht="15.75" customHeight="1">
      <c r="C575" s="55"/>
    </row>
    <row r="576" ht="15.75" customHeight="1">
      <c r="C576" s="55"/>
    </row>
    <row r="577" ht="15.75" customHeight="1">
      <c r="C577" s="55"/>
    </row>
    <row r="578" ht="15.75" customHeight="1">
      <c r="C578" s="55"/>
    </row>
    <row r="579" ht="15.75" customHeight="1">
      <c r="C579" s="55"/>
    </row>
    <row r="580" ht="15.75" customHeight="1">
      <c r="C580" s="55"/>
    </row>
    <row r="581" ht="15.75" customHeight="1">
      <c r="C581" s="55"/>
    </row>
    <row r="582" ht="15.75" customHeight="1">
      <c r="C582" s="55"/>
    </row>
    <row r="583" ht="15.75" customHeight="1">
      <c r="C583" s="55"/>
    </row>
    <row r="584" ht="15.75" customHeight="1">
      <c r="C584" s="55"/>
    </row>
    <row r="585" ht="15.75" customHeight="1">
      <c r="C585" s="55"/>
    </row>
    <row r="586" ht="15.75" customHeight="1">
      <c r="C586" s="55"/>
    </row>
    <row r="587" ht="15.75" customHeight="1">
      <c r="C587" s="55"/>
    </row>
    <row r="588" ht="15.75" customHeight="1">
      <c r="C588" s="55"/>
    </row>
    <row r="589" ht="15.75" customHeight="1">
      <c r="C589" s="55"/>
    </row>
    <row r="590" ht="15.75" customHeight="1">
      <c r="C590" s="55"/>
    </row>
    <row r="591" ht="15.75" customHeight="1">
      <c r="C591" s="55"/>
    </row>
    <row r="592" ht="15.75" customHeight="1">
      <c r="C592" s="55"/>
    </row>
    <row r="593" ht="15.75" customHeight="1">
      <c r="C593" s="55"/>
    </row>
    <row r="594" ht="15.75" customHeight="1">
      <c r="C594" s="55"/>
    </row>
    <row r="595" ht="15.75" customHeight="1">
      <c r="C595" s="55"/>
    </row>
    <row r="596" ht="15.75" customHeight="1">
      <c r="C596" s="55"/>
    </row>
    <row r="597" ht="15.75" customHeight="1">
      <c r="C597" s="55"/>
    </row>
    <row r="598" ht="15.75" customHeight="1">
      <c r="C598" s="55"/>
    </row>
    <row r="599" ht="15.75" customHeight="1">
      <c r="C599" s="55"/>
    </row>
    <row r="600" ht="15.75" customHeight="1">
      <c r="C600" s="55"/>
    </row>
    <row r="601" ht="15.75" customHeight="1">
      <c r="C601" s="55"/>
    </row>
    <row r="602" ht="15.75" customHeight="1">
      <c r="C602" s="55"/>
    </row>
    <row r="603" ht="15.75" customHeight="1">
      <c r="C603" s="55"/>
    </row>
    <row r="604" ht="15.75" customHeight="1">
      <c r="C604" s="55"/>
    </row>
    <row r="605" ht="15.75" customHeight="1">
      <c r="C605" s="55"/>
    </row>
    <row r="606" ht="15.75" customHeight="1">
      <c r="C606" s="55"/>
    </row>
    <row r="607" ht="15.75" customHeight="1">
      <c r="C607" s="55"/>
    </row>
    <row r="608" ht="15.75" customHeight="1">
      <c r="C608" s="55"/>
    </row>
    <row r="609" ht="15.75" customHeight="1">
      <c r="C609" s="55"/>
    </row>
    <row r="610" ht="15.75" customHeight="1">
      <c r="C610" s="55"/>
    </row>
    <row r="611" ht="15.75" customHeight="1">
      <c r="C611" s="55"/>
    </row>
    <row r="612" ht="15.75" customHeight="1">
      <c r="C612" s="55"/>
    </row>
    <row r="613" ht="15.75" customHeight="1">
      <c r="C613" s="55"/>
    </row>
    <row r="614" ht="15.75" customHeight="1">
      <c r="C614" s="55"/>
    </row>
    <row r="615" ht="15.75" customHeight="1">
      <c r="C615" s="55"/>
    </row>
    <row r="616" ht="15.75" customHeight="1">
      <c r="C616" s="55"/>
    </row>
    <row r="617" ht="15.75" customHeight="1">
      <c r="C617" s="55"/>
    </row>
    <row r="618" ht="15.75" customHeight="1">
      <c r="C618" s="55"/>
    </row>
    <row r="619" ht="15.75" customHeight="1">
      <c r="C619" s="55"/>
    </row>
    <row r="620" ht="15.75" customHeight="1">
      <c r="C620" s="55"/>
    </row>
    <row r="621" ht="15.75" customHeight="1">
      <c r="C621" s="55"/>
    </row>
    <row r="622" ht="15.75" customHeight="1">
      <c r="C622" s="55"/>
    </row>
    <row r="623" ht="15.75" customHeight="1">
      <c r="C623" s="55"/>
    </row>
    <row r="624" ht="15.75" customHeight="1">
      <c r="C624" s="55"/>
    </row>
    <row r="625" ht="15.75" customHeight="1">
      <c r="C625" s="55"/>
    </row>
    <row r="626" ht="15.75" customHeight="1">
      <c r="C626" s="55"/>
    </row>
    <row r="627" ht="15.75" customHeight="1">
      <c r="C627" s="55"/>
    </row>
    <row r="628" ht="15.75" customHeight="1">
      <c r="C628" s="55"/>
    </row>
    <row r="629" ht="15.75" customHeight="1">
      <c r="C629" s="55"/>
    </row>
    <row r="630" ht="15.75" customHeight="1">
      <c r="C630" s="55"/>
    </row>
    <row r="631" ht="15.75" customHeight="1">
      <c r="C631" s="55"/>
    </row>
    <row r="632" ht="15.75" customHeight="1">
      <c r="C632" s="55"/>
    </row>
    <row r="633" ht="15.75" customHeight="1">
      <c r="C633" s="55"/>
    </row>
    <row r="634" ht="15.75" customHeight="1">
      <c r="C634" s="55"/>
    </row>
    <row r="635" ht="15.75" customHeight="1">
      <c r="C635" s="55"/>
    </row>
    <row r="636" ht="15.75" customHeight="1">
      <c r="C636" s="55"/>
    </row>
    <row r="637" ht="15.75" customHeight="1">
      <c r="C637" s="55"/>
    </row>
    <row r="638" ht="15.75" customHeight="1">
      <c r="C638" s="55"/>
    </row>
    <row r="639" ht="15.75" customHeight="1">
      <c r="C639" s="55"/>
    </row>
    <row r="640" ht="15.75" customHeight="1">
      <c r="C640" s="55"/>
    </row>
    <row r="641" ht="15.75" customHeight="1">
      <c r="C641" s="55"/>
    </row>
    <row r="642" ht="15.75" customHeight="1">
      <c r="C642" s="55"/>
    </row>
    <row r="643" ht="15.75" customHeight="1">
      <c r="C643" s="55"/>
    </row>
    <row r="644" ht="15.75" customHeight="1">
      <c r="C644" s="55"/>
    </row>
    <row r="645" ht="15.75" customHeight="1">
      <c r="C645" s="55"/>
    </row>
    <row r="646" ht="15.75" customHeight="1">
      <c r="C646" s="55"/>
    </row>
    <row r="647" ht="15.75" customHeight="1">
      <c r="C647" s="55"/>
    </row>
    <row r="648" ht="15.75" customHeight="1">
      <c r="C648" s="55"/>
    </row>
    <row r="649" ht="15.75" customHeight="1">
      <c r="C649" s="55"/>
    </row>
    <row r="650" ht="15.75" customHeight="1">
      <c r="C650" s="55"/>
    </row>
    <row r="651" ht="15.75" customHeight="1">
      <c r="C651" s="55"/>
    </row>
    <row r="652" ht="15.75" customHeight="1">
      <c r="C652" s="55"/>
    </row>
    <row r="653" ht="15.75" customHeight="1">
      <c r="C653" s="55"/>
    </row>
    <row r="654" ht="15.75" customHeight="1">
      <c r="C654" s="55"/>
    </row>
    <row r="655" ht="15.75" customHeight="1">
      <c r="C655" s="55"/>
    </row>
    <row r="656" ht="15.75" customHeight="1">
      <c r="C656" s="55"/>
    </row>
    <row r="657" ht="15.75" customHeight="1">
      <c r="C657" s="55"/>
    </row>
    <row r="658" ht="15.75" customHeight="1">
      <c r="C658" s="55"/>
    </row>
    <row r="659" ht="15.75" customHeight="1">
      <c r="C659" s="55"/>
    </row>
    <row r="660" ht="15.75" customHeight="1">
      <c r="C660" s="55"/>
    </row>
    <row r="661" ht="15.75" customHeight="1">
      <c r="C661" s="55"/>
    </row>
    <row r="662" ht="15.75" customHeight="1">
      <c r="C662" s="55"/>
    </row>
    <row r="663" ht="15.75" customHeight="1">
      <c r="C663" s="55"/>
    </row>
    <row r="664" ht="15.75" customHeight="1">
      <c r="C664" s="55"/>
    </row>
    <row r="665" ht="15.75" customHeight="1">
      <c r="C665" s="55"/>
    </row>
    <row r="666" ht="15.75" customHeight="1">
      <c r="C666" s="55"/>
    </row>
    <row r="667" ht="15.75" customHeight="1">
      <c r="C667" s="55"/>
    </row>
    <row r="668" ht="15.75" customHeight="1">
      <c r="C668" s="55"/>
    </row>
    <row r="669" ht="15.75" customHeight="1">
      <c r="C669" s="55"/>
    </row>
    <row r="670" ht="15.75" customHeight="1">
      <c r="C670" s="55"/>
    </row>
    <row r="671" ht="15.75" customHeight="1">
      <c r="C671" s="55"/>
    </row>
    <row r="672" ht="15.75" customHeight="1">
      <c r="C672" s="55"/>
    </row>
    <row r="673" ht="15.75" customHeight="1">
      <c r="C673" s="55"/>
    </row>
    <row r="674" ht="15.75" customHeight="1">
      <c r="C674" s="55"/>
    </row>
    <row r="675" ht="15.75" customHeight="1">
      <c r="C675" s="55"/>
    </row>
    <row r="676" ht="15.75" customHeight="1">
      <c r="C676" s="55"/>
    </row>
    <row r="677" ht="15.75" customHeight="1">
      <c r="C677" s="55"/>
    </row>
    <row r="678" ht="15.75" customHeight="1">
      <c r="C678" s="55"/>
    </row>
    <row r="679" ht="15.75" customHeight="1">
      <c r="C679" s="55"/>
    </row>
    <row r="680" ht="15.75" customHeight="1">
      <c r="C680" s="55"/>
    </row>
    <row r="681" ht="15.75" customHeight="1">
      <c r="C681" s="55"/>
    </row>
    <row r="682" ht="15.75" customHeight="1">
      <c r="C682" s="55"/>
    </row>
    <row r="683" ht="15.75" customHeight="1">
      <c r="C683" s="55"/>
    </row>
    <row r="684" ht="15.75" customHeight="1">
      <c r="C684" s="55"/>
    </row>
    <row r="685" ht="15.75" customHeight="1">
      <c r="C685" s="55"/>
    </row>
    <row r="686" ht="15.75" customHeight="1">
      <c r="C686" s="55"/>
    </row>
    <row r="687" ht="15.75" customHeight="1">
      <c r="C687" s="55"/>
    </row>
    <row r="688" ht="15.75" customHeight="1">
      <c r="C688" s="55"/>
    </row>
    <row r="689" ht="15.75" customHeight="1">
      <c r="C689" s="55"/>
    </row>
    <row r="690" ht="15.75" customHeight="1">
      <c r="C690" s="55"/>
    </row>
    <row r="691" ht="15.75" customHeight="1">
      <c r="C691" s="55"/>
    </row>
    <row r="692" ht="15.75" customHeight="1">
      <c r="C692" s="55"/>
    </row>
    <row r="693" ht="15.75" customHeight="1">
      <c r="C693" s="55"/>
    </row>
    <row r="694" ht="15.75" customHeight="1">
      <c r="C694" s="55"/>
    </row>
    <row r="695" ht="15.75" customHeight="1">
      <c r="C695" s="55"/>
    </row>
    <row r="696" ht="15.75" customHeight="1">
      <c r="C696" s="55"/>
    </row>
    <row r="697" ht="15.75" customHeight="1">
      <c r="C697" s="55"/>
    </row>
    <row r="698" ht="15.75" customHeight="1">
      <c r="C698" s="55"/>
    </row>
    <row r="699" ht="15.75" customHeight="1">
      <c r="C699" s="55"/>
    </row>
    <row r="700" ht="15.75" customHeight="1">
      <c r="C700" s="55"/>
    </row>
    <row r="701" ht="15.75" customHeight="1">
      <c r="C701" s="55"/>
    </row>
    <row r="702" ht="15.75" customHeight="1">
      <c r="C702" s="55"/>
    </row>
    <row r="703" ht="15.75" customHeight="1">
      <c r="C703" s="55"/>
    </row>
    <row r="704" ht="15.75" customHeight="1">
      <c r="C704" s="55"/>
    </row>
    <row r="705" ht="15.75" customHeight="1">
      <c r="C705" s="55"/>
    </row>
    <row r="706" ht="15.75" customHeight="1">
      <c r="C706" s="55"/>
    </row>
    <row r="707" ht="15.75" customHeight="1">
      <c r="C707" s="55"/>
    </row>
    <row r="708" ht="15.75" customHeight="1">
      <c r="C708" s="55"/>
    </row>
    <row r="709" ht="15.75" customHeight="1">
      <c r="C709" s="55"/>
    </row>
    <row r="710" ht="15.75" customHeight="1">
      <c r="C710" s="55"/>
    </row>
    <row r="711" ht="15.75" customHeight="1">
      <c r="C711" s="55"/>
    </row>
    <row r="712" ht="15.75" customHeight="1">
      <c r="C712" s="55"/>
    </row>
    <row r="713" ht="15.75" customHeight="1">
      <c r="C713" s="55"/>
    </row>
    <row r="714" ht="15.75" customHeight="1">
      <c r="C714" s="55"/>
    </row>
    <row r="715" ht="15.75" customHeight="1">
      <c r="C715" s="55"/>
    </row>
    <row r="716" ht="15.75" customHeight="1">
      <c r="C716" s="55"/>
    </row>
    <row r="717" ht="15.75" customHeight="1">
      <c r="C717" s="55"/>
    </row>
    <row r="718" ht="15.75" customHeight="1">
      <c r="C718" s="55"/>
    </row>
    <row r="719" ht="15.75" customHeight="1">
      <c r="C719" s="55"/>
    </row>
    <row r="720" ht="15.75" customHeight="1">
      <c r="C720" s="55"/>
    </row>
    <row r="721" ht="15.75" customHeight="1">
      <c r="C721" s="55"/>
    </row>
    <row r="722" ht="15.75" customHeight="1">
      <c r="C722" s="55"/>
    </row>
    <row r="723" ht="15.75" customHeight="1">
      <c r="C723" s="55"/>
    </row>
    <row r="724" ht="15.75" customHeight="1">
      <c r="C724" s="55"/>
    </row>
    <row r="725" ht="15.75" customHeight="1">
      <c r="C725" s="55"/>
    </row>
    <row r="726" ht="15.75" customHeight="1">
      <c r="C726" s="55"/>
    </row>
    <row r="727" ht="15.75" customHeight="1">
      <c r="C727" s="55"/>
    </row>
    <row r="728" ht="15.75" customHeight="1">
      <c r="C728" s="55"/>
    </row>
    <row r="729" ht="15.75" customHeight="1">
      <c r="C729" s="55"/>
    </row>
    <row r="730" ht="15.75" customHeight="1">
      <c r="C730" s="55"/>
    </row>
    <row r="731" ht="15.75" customHeight="1">
      <c r="C731" s="55"/>
    </row>
    <row r="732" ht="15.75" customHeight="1">
      <c r="C732" s="55"/>
    </row>
    <row r="733" ht="15.75" customHeight="1">
      <c r="C733" s="55"/>
    </row>
    <row r="734" ht="15.75" customHeight="1">
      <c r="C734" s="55"/>
    </row>
    <row r="735" ht="15.75" customHeight="1">
      <c r="C735" s="55"/>
    </row>
    <row r="736" ht="15.75" customHeight="1">
      <c r="C736" s="55"/>
    </row>
    <row r="737" ht="15.75" customHeight="1">
      <c r="C737" s="55"/>
    </row>
    <row r="738" ht="15.75" customHeight="1">
      <c r="C738" s="55"/>
    </row>
    <row r="739" ht="15.75" customHeight="1">
      <c r="C739" s="55"/>
    </row>
    <row r="740" ht="15.75" customHeight="1">
      <c r="C740" s="55"/>
    </row>
    <row r="741" ht="15.75" customHeight="1">
      <c r="C741" s="55"/>
    </row>
    <row r="742" ht="15.75" customHeight="1">
      <c r="C742" s="55"/>
    </row>
    <row r="743" ht="15.75" customHeight="1">
      <c r="C743" s="55"/>
    </row>
    <row r="744" ht="15.75" customHeight="1">
      <c r="C744" s="55"/>
    </row>
    <row r="745" ht="15.75" customHeight="1">
      <c r="C745" s="55"/>
    </row>
    <row r="746" ht="15.75" customHeight="1">
      <c r="C746" s="55"/>
    </row>
    <row r="747" ht="15.75" customHeight="1">
      <c r="C747" s="55"/>
    </row>
    <row r="748" ht="15.75" customHeight="1">
      <c r="C748" s="55"/>
    </row>
    <row r="749" ht="15.75" customHeight="1">
      <c r="C749" s="55"/>
    </row>
    <row r="750" ht="15.75" customHeight="1">
      <c r="C750" s="55"/>
    </row>
    <row r="751" ht="15.75" customHeight="1">
      <c r="C751" s="55"/>
    </row>
    <row r="752" ht="15.75" customHeight="1">
      <c r="C752" s="55"/>
    </row>
    <row r="753" ht="15.75" customHeight="1">
      <c r="C753" s="55"/>
    </row>
    <row r="754" ht="15.75" customHeight="1">
      <c r="C754" s="55"/>
    </row>
    <row r="755" ht="15.75" customHeight="1">
      <c r="C755" s="55"/>
    </row>
    <row r="756" ht="15.75" customHeight="1">
      <c r="C756" s="55"/>
    </row>
    <row r="757" ht="15.75" customHeight="1">
      <c r="C757" s="55"/>
    </row>
    <row r="758" ht="15.75" customHeight="1">
      <c r="C758" s="55"/>
    </row>
    <row r="759" ht="15.75" customHeight="1">
      <c r="C759" s="55"/>
    </row>
    <row r="760" ht="15.75" customHeight="1">
      <c r="C760" s="55"/>
    </row>
    <row r="761" ht="15.75" customHeight="1">
      <c r="C761" s="55"/>
    </row>
    <row r="762" ht="15.75" customHeight="1">
      <c r="C762" s="55"/>
    </row>
    <row r="763" ht="15.75" customHeight="1">
      <c r="C763" s="55"/>
    </row>
    <row r="764" ht="15.75" customHeight="1">
      <c r="C764" s="55"/>
    </row>
    <row r="765" ht="15.75" customHeight="1">
      <c r="C765" s="55"/>
    </row>
    <row r="766" ht="15.75" customHeight="1">
      <c r="C766" s="55"/>
    </row>
    <row r="767" ht="15.75" customHeight="1">
      <c r="C767" s="55"/>
    </row>
    <row r="768" ht="15.75" customHeight="1">
      <c r="C768" s="55"/>
    </row>
    <row r="769" ht="15.75" customHeight="1">
      <c r="C769" s="55"/>
    </row>
    <row r="770" ht="15.75" customHeight="1">
      <c r="C770" s="55"/>
    </row>
    <row r="771" ht="15.75" customHeight="1">
      <c r="C771" s="55"/>
    </row>
    <row r="772" ht="15.75" customHeight="1">
      <c r="C772" s="55"/>
    </row>
    <row r="773" ht="15.75" customHeight="1">
      <c r="C773" s="55"/>
    </row>
    <row r="774" ht="15.75" customHeight="1">
      <c r="C774" s="55"/>
    </row>
    <row r="775" ht="15.75" customHeight="1">
      <c r="C775" s="55"/>
    </row>
    <row r="776" ht="15.75" customHeight="1">
      <c r="C776" s="55"/>
    </row>
    <row r="777" ht="15.75" customHeight="1">
      <c r="C777" s="55"/>
    </row>
    <row r="778" ht="15.75" customHeight="1">
      <c r="C778" s="55"/>
    </row>
    <row r="779" ht="15.75" customHeight="1">
      <c r="C779" s="55"/>
    </row>
    <row r="780" ht="15.75" customHeight="1">
      <c r="C780" s="55"/>
    </row>
    <row r="781" ht="15.75" customHeight="1">
      <c r="C781" s="55"/>
    </row>
    <row r="782" ht="15.75" customHeight="1">
      <c r="C782" s="55"/>
    </row>
    <row r="783" ht="15.75" customHeight="1">
      <c r="C783" s="55"/>
    </row>
    <row r="784" ht="15.75" customHeight="1">
      <c r="C784" s="55"/>
    </row>
    <row r="785" ht="15.75" customHeight="1">
      <c r="C785" s="55"/>
    </row>
    <row r="786" ht="15.75" customHeight="1">
      <c r="C786" s="55"/>
    </row>
    <row r="787" ht="15.75" customHeight="1">
      <c r="C787" s="55"/>
    </row>
    <row r="788" ht="15.75" customHeight="1">
      <c r="C788" s="55"/>
    </row>
    <row r="789" ht="15.75" customHeight="1">
      <c r="C789" s="55"/>
    </row>
    <row r="790" ht="15.75" customHeight="1">
      <c r="C790" s="55"/>
    </row>
    <row r="791" ht="15.75" customHeight="1">
      <c r="C791" s="55"/>
    </row>
    <row r="792" ht="15.75" customHeight="1">
      <c r="C792" s="55"/>
    </row>
    <row r="793" ht="15.75" customHeight="1">
      <c r="C793" s="55"/>
    </row>
    <row r="794" ht="15.75" customHeight="1">
      <c r="C794" s="55"/>
    </row>
    <row r="795" ht="15.75" customHeight="1">
      <c r="C795" s="55"/>
    </row>
    <row r="796" ht="15.75" customHeight="1">
      <c r="C796" s="55"/>
    </row>
    <row r="797" ht="15.75" customHeight="1">
      <c r="C797" s="55"/>
    </row>
    <row r="798" ht="15.75" customHeight="1">
      <c r="C798" s="55"/>
    </row>
    <row r="799" ht="15.75" customHeight="1">
      <c r="C799" s="55"/>
    </row>
    <row r="800" ht="15.75" customHeight="1">
      <c r="C800" s="55"/>
    </row>
    <row r="801" ht="15.75" customHeight="1">
      <c r="C801" s="55"/>
    </row>
    <row r="802" ht="15.75" customHeight="1">
      <c r="C802" s="55"/>
    </row>
    <row r="803" ht="15.75" customHeight="1">
      <c r="C803" s="55"/>
    </row>
    <row r="804" ht="15.75" customHeight="1">
      <c r="C804" s="55"/>
    </row>
    <row r="805" ht="15.75" customHeight="1">
      <c r="C805" s="55"/>
    </row>
    <row r="806" ht="15.75" customHeight="1">
      <c r="C806" s="55"/>
    </row>
    <row r="807" ht="15.75" customHeight="1">
      <c r="C807" s="55"/>
    </row>
    <row r="808" ht="15.75" customHeight="1">
      <c r="C808" s="55"/>
    </row>
    <row r="809" ht="15.75" customHeight="1">
      <c r="C809" s="55"/>
    </row>
    <row r="810" ht="15.75" customHeight="1">
      <c r="C810" s="55"/>
    </row>
    <row r="811" ht="15.75" customHeight="1">
      <c r="C811" s="55"/>
    </row>
    <row r="812" ht="15.75" customHeight="1">
      <c r="C812" s="55"/>
    </row>
    <row r="813" ht="15.75" customHeight="1">
      <c r="C813" s="55"/>
    </row>
    <row r="814" ht="15.75" customHeight="1">
      <c r="C814" s="55"/>
    </row>
    <row r="815" ht="15.75" customHeight="1">
      <c r="C815" s="55"/>
    </row>
    <row r="816" ht="15.75" customHeight="1">
      <c r="C816" s="55"/>
    </row>
    <row r="817" ht="15.75" customHeight="1">
      <c r="C817" s="55"/>
    </row>
    <row r="818" ht="15.75" customHeight="1">
      <c r="C818" s="55"/>
    </row>
    <row r="819" ht="15.75" customHeight="1">
      <c r="C819" s="55"/>
    </row>
    <row r="820" ht="15.75" customHeight="1">
      <c r="C820" s="55"/>
    </row>
    <row r="821" ht="15.75" customHeight="1">
      <c r="C821" s="55"/>
    </row>
    <row r="822" ht="15.75" customHeight="1">
      <c r="C822" s="55"/>
    </row>
    <row r="823" ht="15.75" customHeight="1">
      <c r="C823" s="55"/>
    </row>
    <row r="824" ht="15.75" customHeight="1">
      <c r="C824" s="55"/>
    </row>
    <row r="825" ht="15.75" customHeight="1">
      <c r="C825" s="55"/>
    </row>
    <row r="826" ht="15.75" customHeight="1">
      <c r="C826" s="55"/>
    </row>
    <row r="827" ht="15.75" customHeight="1">
      <c r="C827" s="55"/>
    </row>
    <row r="828" ht="15.75" customHeight="1">
      <c r="C828" s="55"/>
    </row>
    <row r="829" ht="15.75" customHeight="1">
      <c r="C829" s="55"/>
    </row>
    <row r="830" ht="15.75" customHeight="1">
      <c r="C830" s="55"/>
    </row>
    <row r="831" ht="15.75" customHeight="1">
      <c r="C831" s="55"/>
    </row>
    <row r="832" ht="15.75" customHeight="1">
      <c r="C832" s="55"/>
    </row>
    <row r="833" ht="15.75" customHeight="1">
      <c r="C833" s="55"/>
    </row>
    <row r="834" ht="15.75" customHeight="1">
      <c r="C834" s="55"/>
    </row>
    <row r="835" ht="15.75" customHeight="1">
      <c r="C835" s="55"/>
    </row>
    <row r="836" ht="15.75" customHeight="1">
      <c r="C836" s="55"/>
    </row>
    <row r="837" ht="15.75" customHeight="1">
      <c r="C837" s="55"/>
    </row>
    <row r="838" ht="15.75" customHeight="1">
      <c r="C838" s="55"/>
    </row>
    <row r="839" ht="15.75" customHeight="1">
      <c r="C839" s="55"/>
    </row>
    <row r="840" ht="15.75" customHeight="1">
      <c r="C840" s="55"/>
    </row>
    <row r="841" ht="15.75" customHeight="1">
      <c r="C841" s="55"/>
    </row>
    <row r="842" ht="15.75" customHeight="1">
      <c r="C842" s="55"/>
    </row>
    <row r="843" ht="15.75" customHeight="1">
      <c r="C843" s="55"/>
    </row>
    <row r="844" ht="15.75" customHeight="1">
      <c r="C844" s="55"/>
    </row>
    <row r="845" ht="15.75" customHeight="1">
      <c r="C845" s="55"/>
    </row>
    <row r="846" ht="15.75" customHeight="1">
      <c r="C846" s="55"/>
    </row>
    <row r="847" ht="15.75" customHeight="1">
      <c r="C847" s="55"/>
    </row>
    <row r="848" ht="15.75" customHeight="1">
      <c r="C848" s="55"/>
    </row>
    <row r="849" ht="15.75" customHeight="1">
      <c r="C849" s="55"/>
    </row>
    <row r="850" ht="15.75" customHeight="1">
      <c r="C850" s="55"/>
    </row>
    <row r="851" ht="15.75" customHeight="1">
      <c r="C851" s="55"/>
    </row>
    <row r="852" ht="15.75" customHeight="1">
      <c r="C852" s="55"/>
    </row>
    <row r="853" ht="15.75" customHeight="1">
      <c r="C853" s="55"/>
    </row>
    <row r="854" ht="15.75" customHeight="1">
      <c r="C854" s="55"/>
    </row>
    <row r="855" ht="15.75" customHeight="1">
      <c r="C855" s="55"/>
    </row>
    <row r="856" ht="15.75" customHeight="1">
      <c r="C856" s="55"/>
    </row>
    <row r="857" ht="15.75" customHeight="1">
      <c r="C857" s="55"/>
    </row>
    <row r="858" ht="15.75" customHeight="1">
      <c r="C858" s="55"/>
    </row>
    <row r="859" ht="15.75" customHeight="1">
      <c r="C859" s="55"/>
    </row>
    <row r="860" ht="15.75" customHeight="1">
      <c r="C860" s="55"/>
    </row>
    <row r="861" ht="15.75" customHeight="1">
      <c r="C861" s="55"/>
    </row>
    <row r="862" ht="15.75" customHeight="1">
      <c r="C862" s="55"/>
    </row>
    <row r="863" ht="15.75" customHeight="1">
      <c r="C863" s="55"/>
    </row>
    <row r="864" ht="15.75" customHeight="1">
      <c r="C864" s="55"/>
    </row>
    <row r="865" ht="15.75" customHeight="1">
      <c r="C865" s="55"/>
    </row>
    <row r="866" ht="15.75" customHeight="1">
      <c r="C866" s="55"/>
    </row>
    <row r="867" ht="15.75" customHeight="1">
      <c r="C867" s="55"/>
    </row>
    <row r="868" ht="15.75" customHeight="1">
      <c r="C868" s="55"/>
    </row>
    <row r="869" ht="15.75" customHeight="1">
      <c r="C869" s="55"/>
    </row>
    <row r="870" ht="15.75" customHeight="1">
      <c r="C870" s="55"/>
    </row>
    <row r="871" ht="15.75" customHeight="1">
      <c r="C871" s="55"/>
    </row>
    <row r="872" ht="15.75" customHeight="1">
      <c r="C872" s="55"/>
    </row>
    <row r="873" ht="15.75" customHeight="1">
      <c r="C873" s="55"/>
    </row>
    <row r="874" ht="15.75" customHeight="1">
      <c r="C874" s="55"/>
    </row>
    <row r="875" ht="15.75" customHeight="1">
      <c r="C875" s="55"/>
    </row>
    <row r="876" ht="15.75" customHeight="1">
      <c r="C876" s="55"/>
    </row>
    <row r="877" ht="15.75" customHeight="1">
      <c r="C877" s="55"/>
    </row>
    <row r="878" ht="15.75" customHeight="1">
      <c r="C878" s="55"/>
    </row>
    <row r="879" ht="15.75" customHeight="1">
      <c r="C879" s="55"/>
    </row>
    <row r="880" ht="15.75" customHeight="1">
      <c r="C880" s="55"/>
    </row>
    <row r="881" ht="15.75" customHeight="1">
      <c r="C881" s="55"/>
    </row>
    <row r="882" ht="15.75" customHeight="1">
      <c r="C882" s="55"/>
    </row>
    <row r="883" ht="15.75" customHeight="1">
      <c r="C883" s="55"/>
    </row>
    <row r="884" ht="15.75" customHeight="1">
      <c r="C884" s="55"/>
    </row>
    <row r="885" ht="15.75" customHeight="1">
      <c r="C885" s="55"/>
    </row>
    <row r="886" ht="15.75" customHeight="1">
      <c r="C886" s="55"/>
    </row>
    <row r="887" ht="15.75" customHeight="1">
      <c r="C887" s="55"/>
    </row>
    <row r="888" ht="15.75" customHeight="1">
      <c r="C888" s="55"/>
    </row>
    <row r="889" ht="15.75" customHeight="1">
      <c r="C889" s="55"/>
    </row>
    <row r="890" ht="15.75" customHeight="1">
      <c r="C890" s="55"/>
    </row>
    <row r="891" ht="15.75" customHeight="1">
      <c r="C891" s="55"/>
    </row>
    <row r="892" ht="15.75" customHeight="1">
      <c r="C892" s="55"/>
    </row>
    <row r="893" ht="15.75" customHeight="1">
      <c r="C893" s="55"/>
    </row>
    <row r="894" ht="15.75" customHeight="1">
      <c r="C894" s="55"/>
    </row>
    <row r="895" ht="15.75" customHeight="1">
      <c r="C895" s="55"/>
    </row>
    <row r="896" ht="15.75" customHeight="1">
      <c r="C896" s="55"/>
    </row>
    <row r="897" ht="15.75" customHeight="1">
      <c r="C897" s="55"/>
    </row>
    <row r="898" ht="15.75" customHeight="1">
      <c r="C898" s="55"/>
    </row>
    <row r="899" ht="15.75" customHeight="1">
      <c r="C899" s="55"/>
    </row>
    <row r="900" ht="15.75" customHeight="1">
      <c r="C900" s="55"/>
    </row>
    <row r="901" ht="15.75" customHeight="1">
      <c r="C901" s="55"/>
    </row>
    <row r="902" ht="15.75" customHeight="1">
      <c r="C902" s="55"/>
    </row>
    <row r="903" ht="15.75" customHeight="1">
      <c r="C903" s="55"/>
    </row>
    <row r="904" ht="15.75" customHeight="1">
      <c r="C904" s="55"/>
    </row>
    <row r="905" ht="15.75" customHeight="1">
      <c r="C905" s="55"/>
    </row>
    <row r="906" ht="15.75" customHeight="1">
      <c r="C906" s="55"/>
    </row>
    <row r="907" ht="15.75" customHeight="1">
      <c r="C907" s="55"/>
    </row>
    <row r="908" ht="15.75" customHeight="1">
      <c r="C908" s="55"/>
    </row>
    <row r="909" ht="15.75" customHeight="1">
      <c r="C909" s="55"/>
    </row>
    <row r="910" ht="15.75" customHeight="1">
      <c r="C910" s="55"/>
    </row>
    <row r="911" ht="15.75" customHeight="1">
      <c r="C911" s="55"/>
    </row>
    <row r="912" ht="15.75" customHeight="1">
      <c r="C912" s="55"/>
    </row>
    <row r="913" ht="15.75" customHeight="1">
      <c r="C913" s="55"/>
    </row>
    <row r="914" ht="15.75" customHeight="1">
      <c r="C914" s="55"/>
    </row>
    <row r="915" ht="15.75" customHeight="1">
      <c r="C915" s="55"/>
    </row>
    <row r="916" ht="15.75" customHeight="1">
      <c r="C916" s="55"/>
    </row>
    <row r="917" ht="15.75" customHeight="1">
      <c r="C917" s="55"/>
    </row>
    <row r="918" ht="15.75" customHeight="1">
      <c r="C918" s="55"/>
    </row>
    <row r="919" ht="15.75" customHeight="1">
      <c r="C919" s="55"/>
    </row>
    <row r="920" ht="15.75" customHeight="1">
      <c r="C920" s="55"/>
    </row>
    <row r="921" ht="15.75" customHeight="1">
      <c r="C921" s="55"/>
    </row>
    <row r="922" ht="15.75" customHeight="1">
      <c r="C922" s="55"/>
    </row>
    <row r="923" ht="15.75" customHeight="1">
      <c r="C923" s="55"/>
    </row>
    <row r="924" ht="15.75" customHeight="1">
      <c r="C924" s="55"/>
    </row>
    <row r="925" ht="15.75" customHeight="1">
      <c r="C925" s="55"/>
    </row>
    <row r="926" ht="15.75" customHeight="1">
      <c r="C926" s="55"/>
    </row>
    <row r="927" ht="15.75" customHeight="1">
      <c r="C927" s="55"/>
    </row>
    <row r="928" ht="15.75" customHeight="1">
      <c r="C928" s="55"/>
    </row>
    <row r="929" ht="15.75" customHeight="1">
      <c r="C929" s="55"/>
    </row>
    <row r="930" ht="15.75" customHeight="1">
      <c r="C930" s="55"/>
    </row>
    <row r="931" ht="15.75" customHeight="1">
      <c r="C931" s="55"/>
    </row>
    <row r="932" ht="15.75" customHeight="1">
      <c r="C932" s="55"/>
    </row>
    <row r="933" ht="15.75" customHeight="1">
      <c r="C933" s="55"/>
    </row>
    <row r="934" ht="15.75" customHeight="1">
      <c r="C934" s="55"/>
    </row>
    <row r="935" ht="15.75" customHeight="1">
      <c r="C935" s="55"/>
    </row>
    <row r="936" ht="15.75" customHeight="1">
      <c r="C936" s="55"/>
    </row>
    <row r="937" ht="15.75" customHeight="1">
      <c r="C937" s="55"/>
    </row>
    <row r="938" ht="15.75" customHeight="1">
      <c r="C938" s="55"/>
    </row>
    <row r="939" ht="15.75" customHeight="1">
      <c r="C939" s="55"/>
    </row>
    <row r="940" ht="15.75" customHeight="1">
      <c r="C940" s="55"/>
    </row>
    <row r="941" ht="15.75" customHeight="1">
      <c r="C941" s="55"/>
    </row>
    <row r="942" ht="15.75" customHeight="1">
      <c r="C942" s="55"/>
    </row>
    <row r="943" ht="15.75" customHeight="1">
      <c r="C943" s="55"/>
    </row>
    <row r="944" ht="15.75" customHeight="1">
      <c r="C944" s="55"/>
    </row>
    <row r="945" ht="15.75" customHeight="1">
      <c r="C945" s="55"/>
    </row>
    <row r="946" ht="15.75" customHeight="1">
      <c r="C946" s="55"/>
    </row>
    <row r="947" ht="15.75" customHeight="1">
      <c r="C947" s="55"/>
    </row>
    <row r="948" ht="15.75" customHeight="1">
      <c r="C948" s="55"/>
    </row>
    <row r="949" ht="15.75" customHeight="1">
      <c r="C949" s="55"/>
    </row>
    <row r="950" ht="15.75" customHeight="1">
      <c r="C950" s="55"/>
    </row>
    <row r="951" ht="15.75" customHeight="1">
      <c r="C951" s="55"/>
    </row>
    <row r="952" ht="15.75" customHeight="1">
      <c r="C952" s="55"/>
    </row>
    <row r="953" ht="15.75" customHeight="1">
      <c r="C953" s="55"/>
    </row>
    <row r="954" ht="15.75" customHeight="1">
      <c r="C954" s="55"/>
    </row>
    <row r="955" ht="15.75" customHeight="1">
      <c r="C955" s="55"/>
    </row>
    <row r="956" ht="15.75" customHeight="1">
      <c r="C956" s="55"/>
    </row>
    <row r="957" ht="15.75" customHeight="1">
      <c r="C957" s="55"/>
    </row>
    <row r="958" ht="15.75" customHeight="1">
      <c r="C958" s="55"/>
    </row>
    <row r="959" ht="15.75" customHeight="1">
      <c r="C959" s="55"/>
    </row>
    <row r="960" ht="15.75" customHeight="1">
      <c r="C960" s="55"/>
    </row>
    <row r="961" ht="15.75" customHeight="1">
      <c r="C961" s="55"/>
    </row>
    <row r="962" ht="15.75" customHeight="1">
      <c r="C962" s="55"/>
    </row>
    <row r="963" ht="15.75" customHeight="1">
      <c r="C963" s="55"/>
    </row>
    <row r="964" ht="15.75" customHeight="1">
      <c r="C964" s="55"/>
    </row>
    <row r="965" ht="15.75" customHeight="1">
      <c r="C965" s="55"/>
    </row>
    <row r="966" ht="15.75" customHeight="1">
      <c r="C966" s="55"/>
    </row>
    <row r="967" ht="15.75" customHeight="1">
      <c r="C967" s="55"/>
    </row>
    <row r="968" ht="15.75" customHeight="1">
      <c r="C968" s="55"/>
    </row>
    <row r="969" ht="15.75" customHeight="1">
      <c r="C969" s="55"/>
    </row>
    <row r="970" ht="15.75" customHeight="1">
      <c r="C970" s="55"/>
    </row>
    <row r="971" ht="15.75" customHeight="1">
      <c r="C971" s="55"/>
    </row>
    <row r="972" ht="15.75" customHeight="1">
      <c r="C972" s="55"/>
    </row>
    <row r="973" ht="15.75" customHeight="1">
      <c r="C973" s="55"/>
    </row>
    <row r="974" ht="15.75" customHeight="1">
      <c r="C974" s="55"/>
    </row>
    <row r="975" ht="15.75" customHeight="1">
      <c r="C975" s="55"/>
    </row>
    <row r="976" ht="15.75" customHeight="1">
      <c r="C976" s="55"/>
    </row>
    <row r="977" ht="15.75" customHeight="1">
      <c r="C977" s="55"/>
    </row>
    <row r="978" ht="15.75" customHeight="1">
      <c r="C978" s="55"/>
    </row>
    <row r="979" ht="15.75" customHeight="1">
      <c r="C979" s="55"/>
    </row>
    <row r="980" ht="15.75" customHeight="1">
      <c r="C980" s="55"/>
    </row>
    <row r="981" ht="15.75" customHeight="1">
      <c r="C981" s="55"/>
    </row>
    <row r="982" ht="15.75" customHeight="1">
      <c r="C982" s="55"/>
    </row>
    <row r="983" ht="15.75" customHeight="1">
      <c r="C983" s="55"/>
    </row>
    <row r="984" ht="15.75" customHeight="1">
      <c r="C984" s="55"/>
    </row>
    <row r="985" ht="15.75" customHeight="1">
      <c r="C985" s="55"/>
    </row>
    <row r="986" ht="15.75" customHeight="1">
      <c r="C986" s="55"/>
    </row>
    <row r="987" ht="15.75" customHeight="1">
      <c r="C987" s="55"/>
    </row>
    <row r="988" ht="15.75" customHeight="1">
      <c r="C988" s="55"/>
    </row>
    <row r="989" ht="15.75" customHeight="1">
      <c r="C989" s="55"/>
    </row>
    <row r="990" ht="15.75" customHeight="1">
      <c r="C990" s="55"/>
    </row>
    <row r="991" ht="15.75" customHeight="1">
      <c r="C991" s="55"/>
    </row>
    <row r="992" ht="15.75" customHeight="1">
      <c r="C992" s="55"/>
    </row>
    <row r="993" ht="15.75" customHeight="1">
      <c r="C993" s="55"/>
    </row>
    <row r="994" ht="15.75" customHeight="1">
      <c r="C994" s="55"/>
    </row>
    <row r="995" ht="15.75" customHeight="1">
      <c r="C995" s="55"/>
    </row>
    <row r="996" ht="15.75" customHeight="1">
      <c r="C996" s="55"/>
    </row>
    <row r="997" ht="15.75" customHeight="1">
      <c r="C997" s="55"/>
    </row>
    <row r="998" ht="15.75" customHeight="1">
      <c r="C998" s="55"/>
    </row>
    <row r="999" ht="15.75" customHeight="1">
      <c r="C999" s="55"/>
    </row>
    <row r="1000" ht="15.75" customHeight="1">
      <c r="C1000" s="55"/>
    </row>
    <row r="1001" ht="15.75" customHeight="1">
      <c r="C1001" s="55"/>
    </row>
    <row r="1002" ht="15.75" customHeight="1">
      <c r="C1002" s="55"/>
    </row>
    <row r="1003" ht="15.75" customHeight="1">
      <c r="C1003" s="55"/>
    </row>
    <row r="1004" ht="15.75" customHeight="1">
      <c r="C1004" s="55"/>
    </row>
    <row r="1005" ht="15.75" customHeight="1">
      <c r="C1005" s="55"/>
    </row>
    <row r="1006" ht="15.75" customHeight="1">
      <c r="C1006" s="55"/>
    </row>
    <row r="1007" ht="15.75" customHeight="1">
      <c r="C1007" s="55"/>
    </row>
    <row r="1008" ht="15.75" customHeight="1">
      <c r="C1008" s="55"/>
    </row>
    <row r="1009" ht="15.75" customHeight="1">
      <c r="C1009" s="55"/>
    </row>
    <row r="1010" ht="15.75" customHeight="1">
      <c r="C1010" s="55"/>
    </row>
    <row r="1011" ht="15.75" customHeight="1">
      <c r="C1011" s="55"/>
    </row>
    <row r="1012" ht="15.75" customHeight="1">
      <c r="C1012" s="55"/>
    </row>
    <row r="1013" ht="15.75" customHeight="1">
      <c r="C1013" s="55"/>
    </row>
    <row r="1014" ht="15.75" customHeight="1">
      <c r="C1014" s="55"/>
    </row>
    <row r="1015" ht="15.75" customHeight="1">
      <c r="C1015" s="55"/>
    </row>
    <row r="1016" ht="15.75" customHeight="1">
      <c r="C1016" s="55"/>
    </row>
    <row r="1017" ht="15.75" customHeight="1">
      <c r="C1017" s="55"/>
    </row>
    <row r="1018" ht="15.75" customHeight="1">
      <c r="C1018" s="55"/>
    </row>
    <row r="1019" ht="15.75" customHeight="1">
      <c r="C1019" s="55"/>
    </row>
    <row r="1020" ht="15.75" customHeight="1">
      <c r="C1020" s="55"/>
    </row>
    <row r="1021" ht="15.75" customHeight="1">
      <c r="C1021" s="55"/>
    </row>
    <row r="1022" ht="15.75" customHeight="1">
      <c r="C1022" s="55"/>
    </row>
    <row r="1023" ht="15.75" customHeight="1">
      <c r="C1023" s="55"/>
    </row>
    <row r="1024" ht="15.75" customHeight="1">
      <c r="C1024" s="55"/>
    </row>
    <row r="1025" ht="15.75" customHeight="1">
      <c r="C1025" s="55"/>
    </row>
    <row r="1026" ht="15.75" customHeight="1">
      <c r="C1026" s="55"/>
    </row>
    <row r="1027" ht="15.75" customHeight="1">
      <c r="C1027" s="55"/>
    </row>
    <row r="1028" ht="15.75" customHeight="1">
      <c r="C1028" s="55"/>
    </row>
    <row r="1029" ht="15.75" customHeight="1">
      <c r="C1029" s="55"/>
    </row>
    <row r="1030" ht="15.75" customHeight="1">
      <c r="C1030" s="55"/>
    </row>
    <row r="1031" ht="15.75" customHeight="1">
      <c r="C1031" s="55"/>
    </row>
    <row r="1032" ht="15.75" customHeight="1">
      <c r="C1032" s="55"/>
    </row>
    <row r="1033" ht="15.75" customHeight="1">
      <c r="C1033" s="55"/>
    </row>
    <row r="1034" ht="15.75" customHeight="1">
      <c r="C1034" s="55"/>
    </row>
    <row r="1035" ht="15.75" customHeight="1">
      <c r="C1035" s="55"/>
    </row>
    <row r="1036" ht="15.75" customHeight="1">
      <c r="C1036" s="55"/>
    </row>
    <row r="1037" ht="15.75" customHeight="1">
      <c r="C1037" s="55"/>
    </row>
    <row r="1038" ht="15.75" customHeight="1">
      <c r="C1038" s="55"/>
    </row>
    <row r="1039" ht="15.75" customHeight="1">
      <c r="C1039" s="55"/>
    </row>
    <row r="1040" ht="15.75" customHeight="1">
      <c r="C1040" s="55"/>
    </row>
    <row r="1041" ht="15.75" customHeight="1">
      <c r="C1041" s="55"/>
    </row>
    <row r="1042" ht="15.75" customHeight="1">
      <c r="C1042" s="55"/>
    </row>
    <row r="1043" ht="15.75" customHeight="1">
      <c r="C1043" s="55"/>
    </row>
    <row r="1044" ht="15.75" customHeight="1">
      <c r="C1044" s="55"/>
    </row>
    <row r="1045" ht="15.75" customHeight="1">
      <c r="C1045" s="55"/>
    </row>
    <row r="1046" ht="15.75" customHeight="1">
      <c r="C1046" s="55"/>
    </row>
    <row r="1047" ht="15.75" customHeight="1">
      <c r="C1047" s="55"/>
    </row>
    <row r="1048" ht="15.75" customHeight="1">
      <c r="C1048" s="55"/>
    </row>
    <row r="1049" ht="15.75" customHeight="1">
      <c r="C1049" s="55"/>
    </row>
    <row r="1050" ht="15.75" customHeight="1">
      <c r="C1050" s="55"/>
    </row>
    <row r="1051" ht="15.75" customHeight="1">
      <c r="C1051" s="55"/>
    </row>
    <row r="1052" ht="15.75" customHeight="1">
      <c r="C1052" s="55"/>
    </row>
    <row r="1053" ht="15.75" customHeight="1">
      <c r="C1053" s="55"/>
    </row>
    <row r="1054" ht="15.75" customHeight="1">
      <c r="C1054" s="55"/>
    </row>
    <row r="1055" ht="15.75" customHeight="1">
      <c r="C1055" s="55"/>
    </row>
    <row r="1056" ht="15.75" customHeight="1">
      <c r="C1056" s="55"/>
    </row>
    <row r="1057" ht="15.75" customHeight="1">
      <c r="C1057" s="55"/>
    </row>
    <row r="1058" ht="15.75" customHeight="1">
      <c r="C1058" s="55"/>
    </row>
    <row r="1059" ht="15.75" customHeight="1">
      <c r="C1059" s="55"/>
    </row>
    <row r="1060" ht="15.75" customHeight="1">
      <c r="C1060" s="55"/>
    </row>
    <row r="1061" ht="15.75" customHeight="1">
      <c r="C1061" s="55"/>
    </row>
    <row r="1062" ht="15.75" customHeight="1">
      <c r="C1062" s="55"/>
    </row>
    <row r="1063" ht="15.75" customHeight="1">
      <c r="C1063" s="55"/>
    </row>
    <row r="1064" ht="15.75" customHeight="1">
      <c r="C1064" s="55"/>
    </row>
    <row r="1065" ht="15.75" customHeight="1">
      <c r="C1065" s="55"/>
    </row>
    <row r="1066" ht="15.75" customHeight="1">
      <c r="C1066" s="55"/>
    </row>
    <row r="1067" ht="15.75" customHeight="1">
      <c r="C1067" s="55"/>
    </row>
    <row r="1068" ht="15.75" customHeight="1">
      <c r="C1068" s="55"/>
    </row>
    <row r="1069" ht="15.75" customHeight="1">
      <c r="C1069" s="55"/>
    </row>
    <row r="1070" ht="15.75" customHeight="1">
      <c r="C1070" s="55"/>
    </row>
    <row r="1071" ht="15.75" customHeight="1">
      <c r="C1071" s="55"/>
    </row>
    <row r="1072" ht="15.75" customHeight="1">
      <c r="C1072" s="55"/>
    </row>
    <row r="1073" ht="15.75" customHeight="1">
      <c r="C1073" s="55"/>
    </row>
    <row r="1074" ht="15.75" customHeight="1">
      <c r="C1074" s="55"/>
    </row>
    <row r="1075" ht="15.75" customHeight="1">
      <c r="C1075" s="55"/>
    </row>
    <row r="1076" ht="15.75" customHeight="1">
      <c r="C1076" s="55"/>
    </row>
    <row r="1077" ht="15.75" customHeight="1">
      <c r="C1077" s="55"/>
    </row>
    <row r="1078" ht="15.75" customHeight="1">
      <c r="C1078" s="55"/>
    </row>
    <row r="1079" ht="15.75" customHeight="1">
      <c r="C1079" s="55"/>
    </row>
    <row r="1080" ht="15.75" customHeight="1">
      <c r="C1080" s="55"/>
    </row>
    <row r="1081" ht="15.75" customHeight="1">
      <c r="C1081" s="55"/>
    </row>
    <row r="1082" ht="15.75" customHeight="1">
      <c r="C1082" s="55"/>
    </row>
    <row r="1083" ht="15.75" customHeight="1">
      <c r="C1083" s="55"/>
    </row>
    <row r="1084" ht="15.75" customHeight="1">
      <c r="C1084" s="55"/>
    </row>
    <row r="1085" ht="15.75" customHeight="1">
      <c r="C1085" s="55"/>
    </row>
    <row r="1086" ht="15.75" customHeight="1">
      <c r="C1086" s="55"/>
    </row>
    <row r="1087" ht="15.75" customHeight="1">
      <c r="C1087" s="55"/>
    </row>
    <row r="1088" ht="15.75" customHeight="1">
      <c r="C1088" s="55"/>
    </row>
    <row r="1089" ht="15.75" customHeight="1">
      <c r="C1089" s="55"/>
    </row>
    <row r="1090" ht="15.75" customHeight="1">
      <c r="C1090" s="55"/>
    </row>
    <row r="1091" ht="15.75" customHeight="1">
      <c r="C1091" s="55"/>
    </row>
    <row r="1092" ht="15.75" customHeight="1">
      <c r="C1092" s="55"/>
    </row>
    <row r="1093" ht="15.75" customHeight="1">
      <c r="C1093" s="55"/>
    </row>
    <row r="1094" ht="15.75" customHeight="1">
      <c r="C1094" s="55"/>
    </row>
    <row r="1095" ht="15.75" customHeight="1">
      <c r="C1095" s="55"/>
    </row>
    <row r="1096" ht="15.75" customHeight="1">
      <c r="C1096" s="55"/>
    </row>
    <row r="1097" ht="15.75" customHeight="1">
      <c r="C1097" s="55"/>
    </row>
    <row r="1098" ht="15.75" customHeight="1">
      <c r="C1098" s="55"/>
    </row>
    <row r="1099" ht="15.75" customHeight="1">
      <c r="C1099" s="55"/>
    </row>
    <row r="1100" ht="15.75" customHeight="1">
      <c r="C1100" s="55"/>
    </row>
    <row r="1101" ht="15.75" customHeight="1">
      <c r="C1101" s="55"/>
    </row>
    <row r="1102" ht="15.75" customHeight="1">
      <c r="C1102" s="55"/>
    </row>
    <row r="1103" ht="15.75" customHeight="1">
      <c r="C1103" s="55"/>
    </row>
    <row r="1104" ht="15.75" customHeight="1">
      <c r="C1104" s="55"/>
    </row>
    <row r="1105" ht="15.75" customHeight="1">
      <c r="C1105" s="55"/>
    </row>
    <row r="1106" ht="15.75" customHeight="1">
      <c r="C1106" s="55"/>
    </row>
    <row r="1107" ht="15.75" customHeight="1">
      <c r="C1107" s="55"/>
    </row>
    <row r="1108" ht="15.75" customHeight="1">
      <c r="C1108" s="55"/>
    </row>
    <row r="1109" ht="15.75" customHeight="1">
      <c r="C1109" s="55"/>
    </row>
    <row r="1110" ht="15.75" customHeight="1">
      <c r="C1110" s="55"/>
    </row>
    <row r="1111" ht="15.75" customHeight="1">
      <c r="C1111" s="55"/>
    </row>
    <row r="1112" ht="15.75" customHeight="1">
      <c r="C1112" s="55"/>
    </row>
    <row r="1113" ht="15.75" customHeight="1">
      <c r="C1113" s="55"/>
    </row>
    <row r="1114" ht="15.75" customHeight="1">
      <c r="C1114" s="55"/>
    </row>
    <row r="1115" ht="15.75" customHeight="1">
      <c r="C1115" s="55"/>
    </row>
  </sheetData>
  <mergeCells count="5">
    <mergeCell ref="I1:N1"/>
    <mergeCell ref="P1:X1"/>
    <mergeCell ref="Z1:AD1"/>
    <mergeCell ref="AF1:AJ1"/>
    <mergeCell ref="AL1:AS1"/>
  </mergeCells>
  <conditionalFormatting sqref="I3:I61">
    <cfRule type="expression" dxfId="0" priority="1">
      <formula>today()&gt;=$I3</formula>
    </cfRule>
  </conditionalFormatting>
  <drawing r:id="rId1"/>
</worksheet>
</file>